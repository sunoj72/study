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AEB4CEA1-23B1-4DE8-A5E0-BCC9D0FD77F0}" xr6:coauthVersionLast="47" xr6:coauthVersionMax="47" xr10:uidLastSave="{00000000-0000-0000-0000-000000000000}"/>
  <bookViews>
    <workbookView xWindow="-510" yWindow="8310" windowWidth="28800" windowHeight="15370" activeTab="3" xr2:uid="{00000000-000D-0000-FFFF-FFFF00000000}"/>
  </bookViews>
  <sheets>
    <sheet name="종합" sheetId="1" r:id="rId1"/>
    <sheet name="종합V" sheetId="2" r:id="rId2"/>
    <sheet name="모델기능" sheetId="3" r:id="rId3"/>
    <sheet name="문항" sheetId="4" r:id="rId4"/>
  </sheets>
  <definedNames>
    <definedName name="_xlnm._FilterDatabase" localSheetId="1" hidden="1">종합V!$B$2:$S$73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8" i="2" l="1"/>
  <c r="B87" i="2"/>
  <c r="B86" i="2"/>
  <c r="B85" i="2"/>
  <c r="B84" i="2"/>
  <c r="B83" i="2"/>
  <c r="B82" i="2"/>
  <c r="D73" i="2"/>
  <c r="C73" i="2"/>
  <c r="B73" i="2"/>
  <c r="D72" i="2"/>
  <c r="C72" i="2"/>
  <c r="B72" i="2"/>
  <c r="D71" i="2"/>
  <c r="C71" i="2"/>
  <c r="B71" i="2"/>
  <c r="D70" i="2"/>
  <c r="C70" i="2"/>
  <c r="B70" i="2"/>
  <c r="E69" i="2"/>
  <c r="D69" i="2"/>
  <c r="C69" i="2"/>
  <c r="B69" i="2"/>
  <c r="D68" i="2"/>
  <c r="C68" i="2"/>
  <c r="B68" i="2"/>
  <c r="D67" i="2"/>
  <c r="C67" i="2"/>
  <c r="B67" i="2"/>
  <c r="D66" i="2"/>
  <c r="C66" i="2"/>
  <c r="B66" i="2"/>
  <c r="B65" i="2"/>
  <c r="E64" i="2"/>
  <c r="D64" i="2"/>
  <c r="C64" i="2"/>
  <c r="B64" i="2"/>
  <c r="D63" i="2"/>
  <c r="C63" i="2"/>
  <c r="B63" i="2"/>
  <c r="C62" i="2"/>
  <c r="B62" i="2"/>
  <c r="D61" i="2"/>
  <c r="C61" i="2"/>
  <c r="B61" i="2"/>
  <c r="E60" i="2"/>
  <c r="D60" i="2"/>
  <c r="C60" i="2"/>
  <c r="B60" i="2"/>
  <c r="D59" i="2"/>
  <c r="C59" i="2"/>
  <c r="B59" i="2"/>
  <c r="E58" i="2"/>
  <c r="D58" i="2"/>
  <c r="C58" i="2"/>
  <c r="B58" i="2"/>
  <c r="E57" i="2"/>
  <c r="D57" i="2"/>
  <c r="C57" i="2"/>
  <c r="B57" i="2"/>
  <c r="D56" i="2"/>
  <c r="C56" i="2"/>
  <c r="B56" i="2"/>
  <c r="D55" i="2"/>
  <c r="C55" i="2"/>
  <c r="B55" i="2"/>
  <c r="B54" i="2"/>
  <c r="B53" i="2"/>
  <c r="E52" i="2"/>
  <c r="D52" i="2"/>
  <c r="C52" i="2"/>
  <c r="B52" i="2"/>
  <c r="D51" i="2"/>
  <c r="C51" i="2"/>
  <c r="B51" i="2"/>
  <c r="E50" i="2"/>
  <c r="C50" i="2"/>
  <c r="B50" i="2"/>
  <c r="E49" i="2"/>
  <c r="D49" i="2"/>
  <c r="C49" i="2"/>
  <c r="B49" i="2"/>
  <c r="D48" i="2"/>
  <c r="C48" i="2"/>
  <c r="B48" i="2"/>
  <c r="E47" i="2"/>
  <c r="D47" i="2"/>
  <c r="C47" i="2"/>
  <c r="B47" i="2"/>
  <c r="D46" i="2"/>
  <c r="C46" i="2"/>
  <c r="B46" i="2"/>
  <c r="D45" i="2"/>
  <c r="C45" i="2"/>
  <c r="B45" i="2"/>
  <c r="S44" i="2"/>
  <c r="B44" i="2"/>
  <c r="E43" i="2"/>
  <c r="B43" i="2"/>
  <c r="D42" i="2"/>
  <c r="C42" i="2"/>
  <c r="B42" i="2"/>
  <c r="E41" i="2"/>
  <c r="D41" i="2"/>
  <c r="C41" i="2"/>
  <c r="B41" i="2"/>
  <c r="S40" i="2"/>
  <c r="E40" i="2"/>
  <c r="D40" i="2"/>
  <c r="C40" i="2"/>
  <c r="B40" i="2"/>
  <c r="D39" i="2"/>
  <c r="C39" i="2"/>
  <c r="B39" i="2"/>
  <c r="D38" i="2"/>
  <c r="B38" i="2"/>
  <c r="E37" i="2"/>
  <c r="D37" i="2"/>
  <c r="C37" i="2"/>
  <c r="B37" i="2"/>
  <c r="E36" i="2"/>
  <c r="B36" i="2"/>
  <c r="E35" i="2"/>
  <c r="B35" i="2"/>
  <c r="E34" i="2"/>
  <c r="D34" i="2"/>
  <c r="C34" i="2"/>
  <c r="B34" i="2"/>
  <c r="E33" i="2"/>
  <c r="D33" i="2"/>
  <c r="C33" i="2"/>
  <c r="B33" i="2"/>
  <c r="E32" i="2"/>
  <c r="B32" i="2"/>
  <c r="S31" i="2"/>
  <c r="E31" i="2"/>
  <c r="B31" i="2"/>
  <c r="D30" i="2"/>
  <c r="B30" i="2"/>
  <c r="D29" i="2"/>
  <c r="B29" i="2"/>
  <c r="E28" i="2"/>
  <c r="B28" i="2"/>
  <c r="E27" i="2"/>
  <c r="B27" i="2"/>
  <c r="E26" i="2"/>
  <c r="B26" i="2"/>
  <c r="E25" i="2"/>
  <c r="B25" i="2"/>
  <c r="S24" i="2"/>
  <c r="E24" i="2"/>
  <c r="D24" i="2"/>
  <c r="C24" i="2"/>
  <c r="B24" i="2"/>
  <c r="S23" i="2"/>
  <c r="E23" i="2"/>
  <c r="D23" i="2"/>
  <c r="C23" i="2"/>
  <c r="B23" i="2"/>
  <c r="S22" i="2"/>
  <c r="E22" i="2"/>
  <c r="D22" i="2"/>
  <c r="C22" i="2"/>
  <c r="B22" i="2"/>
  <c r="D21" i="2"/>
  <c r="C21" i="2"/>
  <c r="B21" i="2"/>
  <c r="E20" i="2"/>
  <c r="D20" i="2"/>
  <c r="C20" i="2"/>
  <c r="B20" i="2"/>
  <c r="D19" i="2"/>
  <c r="B19" i="2"/>
  <c r="D18" i="2"/>
  <c r="B18" i="2"/>
  <c r="E17" i="2"/>
  <c r="D17" i="2"/>
  <c r="C17" i="2"/>
  <c r="B17" i="2"/>
  <c r="D16" i="2"/>
  <c r="C16" i="2"/>
  <c r="B16" i="2"/>
  <c r="E15" i="2"/>
  <c r="B15" i="2"/>
  <c r="E14" i="2"/>
  <c r="D14" i="2"/>
  <c r="C14" i="2"/>
  <c r="B14" i="2"/>
  <c r="E13" i="2"/>
  <c r="D13" i="2"/>
  <c r="B13" i="2"/>
  <c r="E12" i="2"/>
  <c r="B12" i="2"/>
  <c r="E11" i="2"/>
  <c r="B11" i="2"/>
  <c r="S10" i="2"/>
  <c r="E10" i="2"/>
  <c r="C10" i="2"/>
  <c r="B10" i="2"/>
  <c r="E9" i="2"/>
  <c r="B9" i="2"/>
  <c r="E8" i="2"/>
  <c r="B8" i="2"/>
  <c r="E7" i="2"/>
  <c r="B7" i="2"/>
  <c r="E6" i="2"/>
  <c r="D6" i="2"/>
  <c r="C6" i="2"/>
  <c r="B6" i="2"/>
  <c r="E5" i="2"/>
  <c r="B5" i="2"/>
  <c r="E4" i="2"/>
  <c r="D4" i="2"/>
  <c r="C4" i="2"/>
  <c r="B4" i="2"/>
  <c r="S3" i="2"/>
  <c r="E3" i="2"/>
  <c r="C3" i="2"/>
  <c r="B3" i="2"/>
  <c r="BV21" i="1"/>
  <c r="BU21" i="1"/>
  <c r="F24" i="2" s="1"/>
  <c r="BT21" i="1"/>
  <c r="F23" i="2" s="1"/>
  <c r="BS21" i="1"/>
  <c r="F22" i="2" s="1"/>
  <c r="BR21" i="1"/>
  <c r="F10" i="2" s="1"/>
  <c r="BQ21" i="1"/>
  <c r="F3" i="2" s="1"/>
  <c r="BP21" i="1"/>
  <c r="F40" i="2" s="1"/>
  <c r="BO21" i="1"/>
  <c r="F44" i="2" s="1"/>
  <c r="BN21" i="1"/>
  <c r="F31" i="2" s="1"/>
  <c r="BM21" i="1"/>
  <c r="F67" i="2" s="1"/>
  <c r="BL21" i="1"/>
  <c r="F72" i="2" s="1"/>
  <c r="BK21" i="1"/>
  <c r="F59" i="2" s="1"/>
  <c r="BJ21" i="1"/>
  <c r="F71" i="2" s="1"/>
  <c r="BI21" i="1"/>
  <c r="F13" i="2" s="1"/>
  <c r="BH21" i="1"/>
  <c r="F51" i="2" s="1"/>
  <c r="BG21" i="1"/>
  <c r="F12" i="2" s="1"/>
  <c r="BF21" i="1"/>
  <c r="F28" i="2" s="1"/>
  <c r="BE21" i="1"/>
  <c r="F11" i="2" s="1"/>
  <c r="BD21" i="1"/>
  <c r="F9" i="2" s="1"/>
  <c r="BC21" i="1"/>
  <c r="F30" i="2" s="1"/>
  <c r="BB21" i="1"/>
  <c r="F19" i="2" s="1"/>
  <c r="BA21" i="1"/>
  <c r="F58" i="2" s="1"/>
  <c r="AZ21" i="1"/>
  <c r="F69" i="2" s="1"/>
  <c r="AY21" i="1"/>
  <c r="F52" i="2" s="1"/>
  <c r="AX21" i="1"/>
  <c r="F38" i="2" s="1"/>
  <c r="AW21" i="1"/>
  <c r="F41" i="2" s="1"/>
  <c r="AV21" i="1"/>
  <c r="F55" i="2" s="1"/>
  <c r="AU21" i="1"/>
  <c r="F63" i="2" s="1"/>
  <c r="AT21" i="1"/>
  <c r="F18" i="2" s="1"/>
  <c r="AS21" i="1"/>
  <c r="F21" i="2" s="1"/>
  <c r="AR21" i="1"/>
  <c r="F45" i="2" s="1"/>
  <c r="AQ21" i="1"/>
  <c r="F8" i="2" s="1"/>
  <c r="AP21" i="1"/>
  <c r="F29" i="2" s="1"/>
  <c r="AO21" i="1"/>
  <c r="F36" i="2" s="1"/>
  <c r="AN21" i="1"/>
  <c r="F27" i="2" s="1"/>
  <c r="AM21" i="1"/>
  <c r="F50" i="2" s="1"/>
  <c r="AL21" i="1"/>
  <c r="F48" i="2" s="1"/>
  <c r="AK21" i="1"/>
  <c r="F73" i="2" s="1"/>
  <c r="AJ21" i="1"/>
  <c r="F66" i="2" s="1"/>
  <c r="AI21" i="1"/>
  <c r="F56" i="2" s="1"/>
  <c r="AH21" i="1"/>
  <c r="F39" i="2" s="1"/>
  <c r="AG21" i="1"/>
  <c r="F46" i="2" s="1"/>
  <c r="AF21" i="1"/>
  <c r="F34" i="2" s="1"/>
  <c r="AE21" i="1"/>
  <c r="F62" i="2" s="1"/>
  <c r="AD21" i="1"/>
  <c r="F54" i="2" s="1"/>
  <c r="AC21" i="1"/>
  <c r="F17" i="2" s="1"/>
  <c r="AB21" i="1"/>
  <c r="F60" i="2" s="1"/>
  <c r="AA21" i="1"/>
  <c r="F70" i="2" s="1"/>
  <c r="Z21" i="1"/>
  <c r="F25" i="2" s="1"/>
  <c r="Y21" i="1"/>
  <c r="F7" i="2" s="1"/>
  <c r="X21" i="1"/>
  <c r="F16" i="2" s="1"/>
  <c r="W21" i="1"/>
  <c r="F6" i="2" s="1"/>
  <c r="V21" i="1"/>
  <c r="F14" i="2" s="1"/>
  <c r="U21" i="1"/>
  <c r="F68" i="2" s="1"/>
  <c r="T21" i="1"/>
  <c r="F61" i="2" s="1"/>
  <c r="S21" i="1"/>
  <c r="F64" i="2" s="1"/>
  <c r="R21" i="1"/>
  <c r="F57" i="2" s="1"/>
  <c r="Q21" i="1"/>
  <c r="F65" i="2" s="1"/>
  <c r="P21" i="1"/>
  <c r="F26" i="2" s="1"/>
  <c r="O21" i="1"/>
  <c r="F43" i="2" s="1"/>
  <c r="N21" i="1"/>
  <c r="F37" i="2" s="1"/>
  <c r="M21" i="1"/>
  <c r="F53" i="2" s="1"/>
  <c r="L21" i="1"/>
  <c r="F49" i="2" s="1"/>
  <c r="K21" i="1"/>
  <c r="F15" i="2" s="1"/>
  <c r="J21" i="1"/>
  <c r="F35" i="2" s="1"/>
  <c r="I21" i="1"/>
  <c r="F4" i="2" s="1"/>
  <c r="H21" i="1"/>
  <c r="F47" i="2" s="1"/>
  <c r="G21" i="1"/>
  <c r="F33" i="2" s="1"/>
  <c r="F21" i="1"/>
  <c r="F5" i="2" s="1"/>
  <c r="E21" i="1"/>
  <c r="F32" i="2" s="1"/>
  <c r="D21" i="1"/>
  <c r="F20" i="2" s="1"/>
  <c r="BV20" i="1"/>
  <c r="BV19" i="1"/>
  <c r="BV18" i="1"/>
  <c r="BV17" i="1"/>
  <c r="BV16" i="1"/>
  <c r="BV15" i="1"/>
  <c r="BV14" i="1"/>
  <c r="BV13" i="1"/>
  <c r="BV12" i="1"/>
  <c r="BV11" i="1"/>
  <c r="BV10" i="1"/>
  <c r="BV9" i="1"/>
  <c r="L39" i="2" l="1"/>
  <c r="K39" i="2"/>
  <c r="J39" i="2"/>
  <c r="I39" i="2"/>
  <c r="H39" i="2"/>
  <c r="G39" i="2"/>
  <c r="R39" i="2"/>
  <c r="Q39" i="2"/>
  <c r="P39" i="2"/>
  <c r="O39" i="2"/>
  <c r="N39" i="2"/>
  <c r="M39" i="2"/>
  <c r="R43" i="2"/>
  <c r="Q43" i="2"/>
  <c r="P43" i="2"/>
  <c r="O43" i="2"/>
  <c r="N43" i="2"/>
  <c r="M43" i="2"/>
  <c r="L43" i="2"/>
  <c r="K43" i="2"/>
  <c r="J43" i="2"/>
  <c r="I43" i="2"/>
  <c r="H43" i="2"/>
  <c r="G43" i="2"/>
  <c r="J9" i="2"/>
  <c r="I9" i="2"/>
  <c r="H9" i="2"/>
  <c r="G9" i="2"/>
  <c r="R9" i="2"/>
  <c r="Q9" i="2"/>
  <c r="P9" i="2"/>
  <c r="O9" i="2"/>
  <c r="N9" i="2"/>
  <c r="M9" i="2"/>
  <c r="L9" i="2"/>
  <c r="K9" i="2"/>
  <c r="O65" i="2"/>
  <c r="N65" i="2"/>
  <c r="M65" i="2"/>
  <c r="L65" i="2"/>
  <c r="K65" i="2"/>
  <c r="J65" i="2"/>
  <c r="I65" i="2"/>
  <c r="H65" i="2"/>
  <c r="G65" i="2"/>
  <c r="R65" i="2"/>
  <c r="Q65" i="2"/>
  <c r="P65" i="2"/>
  <c r="R57" i="2"/>
  <c r="Q57" i="2"/>
  <c r="P57" i="2"/>
  <c r="O57" i="2"/>
  <c r="N57" i="2"/>
  <c r="M57" i="2"/>
  <c r="L57" i="2"/>
  <c r="K57" i="2"/>
  <c r="J57" i="2"/>
  <c r="I57" i="2"/>
  <c r="H57" i="2"/>
  <c r="G57" i="2"/>
  <c r="R12" i="2"/>
  <c r="Q12" i="2"/>
  <c r="P12" i="2"/>
  <c r="O12" i="2"/>
  <c r="N12" i="2"/>
  <c r="M12" i="2"/>
  <c r="L12" i="2"/>
  <c r="K12" i="2"/>
  <c r="J12" i="2"/>
  <c r="I12" i="2"/>
  <c r="H12" i="2"/>
  <c r="G12" i="2"/>
  <c r="Q61" i="2"/>
  <c r="P61" i="2"/>
  <c r="O61" i="2"/>
  <c r="N61" i="2"/>
  <c r="M61" i="2"/>
  <c r="L61" i="2"/>
  <c r="K61" i="2"/>
  <c r="J61" i="2"/>
  <c r="I61" i="2"/>
  <c r="H61" i="2"/>
  <c r="G61" i="2"/>
  <c r="R61" i="2"/>
  <c r="R36" i="2"/>
  <c r="Q36" i="2"/>
  <c r="P36" i="2"/>
  <c r="O36" i="2"/>
  <c r="N36" i="2"/>
  <c r="M36" i="2"/>
  <c r="L36" i="2"/>
  <c r="K36" i="2"/>
  <c r="J36" i="2"/>
  <c r="I36" i="2"/>
  <c r="H36" i="2"/>
  <c r="G36" i="2"/>
  <c r="J14" i="2"/>
  <c r="I14" i="2"/>
  <c r="H14" i="2"/>
  <c r="G14" i="2"/>
  <c r="R14" i="2"/>
  <c r="Q14" i="2"/>
  <c r="P14" i="2"/>
  <c r="O14" i="2"/>
  <c r="N14" i="2"/>
  <c r="M14" i="2"/>
  <c r="L14" i="2"/>
  <c r="K14" i="2"/>
  <c r="R8" i="2"/>
  <c r="Q8" i="2"/>
  <c r="P8" i="2"/>
  <c r="O8" i="2"/>
  <c r="N8" i="2"/>
  <c r="M8" i="2"/>
  <c r="L8" i="2"/>
  <c r="K8" i="2"/>
  <c r="J8" i="2"/>
  <c r="I8" i="2"/>
  <c r="H8" i="2"/>
  <c r="G8" i="2"/>
  <c r="O20" i="2"/>
  <c r="N20" i="2"/>
  <c r="M20" i="2"/>
  <c r="L20" i="2"/>
  <c r="K20" i="2"/>
  <c r="J20" i="2"/>
  <c r="I20" i="2"/>
  <c r="H20" i="2"/>
  <c r="G20" i="2"/>
  <c r="R20" i="2"/>
  <c r="Q20" i="2"/>
  <c r="P20" i="2"/>
  <c r="R72" i="2"/>
  <c r="Q72" i="2"/>
  <c r="P72" i="2"/>
  <c r="O72" i="2"/>
  <c r="N72" i="2"/>
  <c r="M72" i="2"/>
  <c r="L72" i="2"/>
  <c r="K72" i="2"/>
  <c r="J72" i="2"/>
  <c r="I72" i="2"/>
  <c r="H72" i="2"/>
  <c r="G72" i="2"/>
  <c r="R7" i="2"/>
  <c r="Q7" i="2"/>
  <c r="P7" i="2"/>
  <c r="O7" i="2"/>
  <c r="N7" i="2"/>
  <c r="M7" i="2"/>
  <c r="L7" i="2"/>
  <c r="K7" i="2"/>
  <c r="J7" i="2"/>
  <c r="I7" i="2"/>
  <c r="H7" i="2"/>
  <c r="G7" i="2"/>
  <c r="J25" i="2"/>
  <c r="I25" i="2"/>
  <c r="H25" i="2"/>
  <c r="G25" i="2"/>
  <c r="R25" i="2"/>
  <c r="Q25" i="2"/>
  <c r="P25" i="2"/>
  <c r="O25" i="2"/>
  <c r="N25" i="2"/>
  <c r="M25" i="2"/>
  <c r="L25" i="2"/>
  <c r="K25" i="2"/>
  <c r="Q41" i="2"/>
  <c r="P41" i="2"/>
  <c r="O41" i="2"/>
  <c r="N41" i="2"/>
  <c r="M41" i="2"/>
  <c r="L41" i="2"/>
  <c r="K41" i="2"/>
  <c r="J41" i="2"/>
  <c r="I41" i="2"/>
  <c r="H41" i="2"/>
  <c r="G41" i="2"/>
  <c r="R41" i="2"/>
  <c r="R37" i="2"/>
  <c r="Q37" i="2"/>
  <c r="P37" i="2"/>
  <c r="O37" i="2"/>
  <c r="N37" i="2"/>
  <c r="M37" i="2"/>
  <c r="L37" i="2"/>
  <c r="K37" i="2"/>
  <c r="J37" i="2"/>
  <c r="I37" i="2"/>
  <c r="H37" i="2"/>
  <c r="G37" i="2"/>
  <c r="R56" i="2"/>
  <c r="Q56" i="2"/>
  <c r="P56" i="2"/>
  <c r="O56" i="2"/>
  <c r="N56" i="2"/>
  <c r="M56" i="2"/>
  <c r="L56" i="2"/>
  <c r="K56" i="2"/>
  <c r="J56" i="2"/>
  <c r="I56" i="2"/>
  <c r="H56" i="2"/>
  <c r="G56" i="2"/>
  <c r="R66" i="2"/>
  <c r="Q66" i="2"/>
  <c r="P66" i="2"/>
  <c r="O66" i="2"/>
  <c r="N66" i="2"/>
  <c r="M66" i="2"/>
  <c r="L66" i="2"/>
  <c r="K66" i="2"/>
  <c r="J66" i="2"/>
  <c r="I66" i="2"/>
  <c r="H66" i="2"/>
  <c r="G66" i="2"/>
  <c r="R11" i="2"/>
  <c r="Q11" i="2"/>
  <c r="P11" i="2"/>
  <c r="O11" i="2"/>
  <c r="N11" i="2"/>
  <c r="M11" i="2"/>
  <c r="L11" i="2"/>
  <c r="K11" i="2"/>
  <c r="J11" i="2"/>
  <c r="I11" i="2"/>
  <c r="H11" i="2"/>
  <c r="G11" i="2"/>
  <c r="R48" i="2"/>
  <c r="Q48" i="2"/>
  <c r="P48" i="2"/>
  <c r="O48" i="2"/>
  <c r="N48" i="2"/>
  <c r="M48" i="2"/>
  <c r="L48" i="2"/>
  <c r="K48" i="2"/>
  <c r="J48" i="2"/>
  <c r="I48" i="2"/>
  <c r="H48" i="2"/>
  <c r="G48" i="2"/>
  <c r="M50" i="2"/>
  <c r="L50" i="2"/>
  <c r="K50" i="2"/>
  <c r="J50" i="2"/>
  <c r="I50" i="2"/>
  <c r="H50" i="2"/>
  <c r="G50" i="2"/>
  <c r="R50" i="2"/>
  <c r="Q50" i="2"/>
  <c r="P50" i="2"/>
  <c r="O50" i="2"/>
  <c r="N50" i="2"/>
  <c r="Q51" i="2"/>
  <c r="P51" i="2"/>
  <c r="O51" i="2"/>
  <c r="N51" i="2"/>
  <c r="M51" i="2"/>
  <c r="L51" i="2"/>
  <c r="K51" i="2"/>
  <c r="J51" i="2"/>
  <c r="I51" i="2"/>
  <c r="H51" i="2"/>
  <c r="G51" i="2"/>
  <c r="R51" i="2"/>
  <c r="G68" i="2"/>
  <c r="R68" i="2"/>
  <c r="Q68" i="2"/>
  <c r="P68" i="2"/>
  <c r="O68" i="2"/>
  <c r="N68" i="2"/>
  <c r="M68" i="2"/>
  <c r="L68" i="2"/>
  <c r="K68" i="2"/>
  <c r="J68" i="2"/>
  <c r="I68" i="2"/>
  <c r="H68" i="2"/>
  <c r="J29" i="2"/>
  <c r="I29" i="2"/>
  <c r="H29" i="2"/>
  <c r="G29" i="2"/>
  <c r="R29" i="2"/>
  <c r="Q29" i="2"/>
  <c r="P29" i="2"/>
  <c r="O29" i="2"/>
  <c r="N29" i="2"/>
  <c r="M29" i="2"/>
  <c r="L29" i="2"/>
  <c r="K29" i="2"/>
  <c r="J59" i="2"/>
  <c r="I59" i="2"/>
  <c r="H59" i="2"/>
  <c r="G59" i="2"/>
  <c r="R59" i="2"/>
  <c r="Q59" i="2"/>
  <c r="P59" i="2"/>
  <c r="O59" i="2"/>
  <c r="N59" i="2"/>
  <c r="M59" i="2"/>
  <c r="L59" i="2"/>
  <c r="K59" i="2"/>
  <c r="O45" i="2"/>
  <c r="N45" i="2"/>
  <c r="M45" i="2"/>
  <c r="L45" i="2"/>
  <c r="K45" i="2"/>
  <c r="J45" i="2"/>
  <c r="I45" i="2"/>
  <c r="H45" i="2"/>
  <c r="G45" i="2"/>
  <c r="R45" i="2"/>
  <c r="Q45" i="2"/>
  <c r="P45" i="2"/>
  <c r="R21" i="2"/>
  <c r="Q21" i="2"/>
  <c r="P21" i="2"/>
  <c r="O21" i="2"/>
  <c r="N21" i="2"/>
  <c r="M21" i="2"/>
  <c r="L21" i="2"/>
  <c r="K21" i="2"/>
  <c r="J21" i="2"/>
  <c r="I21" i="2"/>
  <c r="H21" i="2"/>
  <c r="G21" i="2"/>
  <c r="L5" i="2"/>
  <c r="K5" i="2"/>
  <c r="J5" i="2"/>
  <c r="I5" i="2"/>
  <c r="H5" i="2"/>
  <c r="G5" i="2"/>
  <c r="R5" i="2"/>
  <c r="Q5" i="2"/>
  <c r="P5" i="2"/>
  <c r="O5" i="2"/>
  <c r="N5" i="2"/>
  <c r="M5" i="2"/>
  <c r="R31" i="2"/>
  <c r="Q31" i="2"/>
  <c r="P31" i="2"/>
  <c r="O31" i="2"/>
  <c r="N31" i="2"/>
  <c r="M31" i="2"/>
  <c r="L31" i="2"/>
  <c r="K31" i="2"/>
  <c r="J31" i="2"/>
  <c r="I31" i="2"/>
  <c r="H31" i="2"/>
  <c r="G31" i="2"/>
  <c r="R63" i="2"/>
  <c r="Q63" i="2"/>
  <c r="P63" i="2"/>
  <c r="O63" i="2"/>
  <c r="N63" i="2"/>
  <c r="M63" i="2"/>
  <c r="L63" i="2"/>
  <c r="K63" i="2"/>
  <c r="J63" i="2"/>
  <c r="I63" i="2"/>
  <c r="H63" i="2"/>
  <c r="G63" i="2"/>
  <c r="R47" i="2"/>
  <c r="Q47" i="2"/>
  <c r="P47" i="2"/>
  <c r="O47" i="2"/>
  <c r="N47" i="2"/>
  <c r="M47" i="2"/>
  <c r="L47" i="2"/>
  <c r="K47" i="2"/>
  <c r="J47" i="2"/>
  <c r="I47" i="2"/>
  <c r="H47" i="2"/>
  <c r="G47" i="2"/>
  <c r="P55" i="2"/>
  <c r="O55" i="2"/>
  <c r="N55" i="2"/>
  <c r="M55" i="2"/>
  <c r="L55" i="2"/>
  <c r="K55" i="2"/>
  <c r="J55" i="2"/>
  <c r="I55" i="2"/>
  <c r="H55" i="2"/>
  <c r="G55" i="2"/>
  <c r="R55" i="2"/>
  <c r="Q55" i="2"/>
  <c r="G4" i="2"/>
  <c r="R4" i="2"/>
  <c r="Q4" i="2"/>
  <c r="P4" i="2"/>
  <c r="O4" i="2"/>
  <c r="N4" i="2"/>
  <c r="M4" i="2"/>
  <c r="L4" i="2"/>
  <c r="K4" i="2"/>
  <c r="J4" i="2"/>
  <c r="I4" i="2"/>
  <c r="H4" i="2"/>
  <c r="F74" i="2"/>
  <c r="R3" i="2"/>
  <c r="Q3" i="2"/>
  <c r="P3" i="2"/>
  <c r="O3" i="2"/>
  <c r="N3" i="2"/>
  <c r="M3" i="2"/>
  <c r="L3" i="2"/>
  <c r="K3" i="2"/>
  <c r="J3" i="2"/>
  <c r="I3" i="2"/>
  <c r="H3" i="2"/>
  <c r="G3" i="2"/>
  <c r="N10" i="2"/>
  <c r="M10" i="2"/>
  <c r="L10" i="2"/>
  <c r="K10" i="2"/>
  <c r="J10" i="2"/>
  <c r="I10" i="2"/>
  <c r="H10" i="2"/>
  <c r="G10" i="2"/>
  <c r="R10" i="2"/>
  <c r="Q10" i="2"/>
  <c r="P10" i="2"/>
  <c r="O10" i="2"/>
  <c r="R23" i="2"/>
  <c r="Q23" i="2"/>
  <c r="P23" i="2"/>
  <c r="O23" i="2"/>
  <c r="N23" i="2"/>
  <c r="M23" i="2"/>
  <c r="L23" i="2"/>
  <c r="K23" i="2"/>
  <c r="J23" i="2"/>
  <c r="I23" i="2"/>
  <c r="H23" i="2"/>
  <c r="G23" i="2"/>
  <c r="L19" i="2"/>
  <c r="K19" i="2"/>
  <c r="J19" i="2"/>
  <c r="I19" i="2"/>
  <c r="H19" i="2"/>
  <c r="G19" i="2"/>
  <c r="R19" i="2"/>
  <c r="Q19" i="2"/>
  <c r="P19" i="2"/>
  <c r="O19" i="2"/>
  <c r="N19" i="2"/>
  <c r="M19" i="2"/>
  <c r="O30" i="2"/>
  <c r="N30" i="2"/>
  <c r="M30" i="2"/>
  <c r="L30" i="2"/>
  <c r="K30" i="2"/>
  <c r="J30" i="2"/>
  <c r="I30" i="2"/>
  <c r="H30" i="2"/>
  <c r="G30" i="2"/>
  <c r="R30" i="2"/>
  <c r="Q30" i="2"/>
  <c r="P30" i="2"/>
  <c r="O26" i="2"/>
  <c r="N26" i="2"/>
  <c r="M26" i="2"/>
  <c r="L26" i="2"/>
  <c r="K26" i="2"/>
  <c r="J26" i="2"/>
  <c r="I26" i="2"/>
  <c r="H26" i="2"/>
  <c r="G26" i="2"/>
  <c r="R26" i="2"/>
  <c r="Q26" i="2"/>
  <c r="P26" i="2"/>
  <c r="R73" i="2"/>
  <c r="Q73" i="2"/>
  <c r="P73" i="2"/>
  <c r="O73" i="2"/>
  <c r="N73" i="2"/>
  <c r="M73" i="2"/>
  <c r="L73" i="2"/>
  <c r="K73" i="2"/>
  <c r="J73" i="2"/>
  <c r="I73" i="2"/>
  <c r="H73" i="2"/>
  <c r="G73" i="2"/>
  <c r="R28" i="2"/>
  <c r="Q28" i="2"/>
  <c r="P28" i="2"/>
  <c r="O28" i="2"/>
  <c r="N28" i="2"/>
  <c r="M28" i="2"/>
  <c r="L28" i="2"/>
  <c r="K28" i="2"/>
  <c r="J28" i="2"/>
  <c r="I28" i="2"/>
  <c r="H28" i="2"/>
  <c r="G28" i="2"/>
  <c r="I64" i="2"/>
  <c r="H64" i="2"/>
  <c r="G64" i="2"/>
  <c r="R64" i="2"/>
  <c r="Q64" i="2"/>
  <c r="P64" i="2"/>
  <c r="O64" i="2"/>
  <c r="N64" i="2"/>
  <c r="M64" i="2"/>
  <c r="L64" i="2"/>
  <c r="K64" i="2"/>
  <c r="J64" i="2"/>
  <c r="R27" i="2"/>
  <c r="Q27" i="2"/>
  <c r="P27" i="2"/>
  <c r="O27" i="2"/>
  <c r="N27" i="2"/>
  <c r="M27" i="2"/>
  <c r="L27" i="2"/>
  <c r="K27" i="2"/>
  <c r="J27" i="2"/>
  <c r="I27" i="2"/>
  <c r="H27" i="2"/>
  <c r="G27" i="2"/>
  <c r="G13" i="2"/>
  <c r="R13" i="2"/>
  <c r="Q13" i="2"/>
  <c r="P13" i="2"/>
  <c r="O13" i="2"/>
  <c r="N13" i="2"/>
  <c r="M13" i="2"/>
  <c r="L13" i="2"/>
  <c r="K13" i="2"/>
  <c r="J13" i="2"/>
  <c r="I13" i="2"/>
  <c r="H13" i="2"/>
  <c r="R71" i="2"/>
  <c r="Q71" i="2"/>
  <c r="P71" i="2"/>
  <c r="O71" i="2"/>
  <c r="N71" i="2"/>
  <c r="M71" i="2"/>
  <c r="L71" i="2"/>
  <c r="K71" i="2"/>
  <c r="J71" i="2"/>
  <c r="I71" i="2"/>
  <c r="H71" i="2"/>
  <c r="G71" i="2"/>
  <c r="O6" i="2"/>
  <c r="N6" i="2"/>
  <c r="M6" i="2"/>
  <c r="L6" i="2"/>
  <c r="K6" i="2"/>
  <c r="J6" i="2"/>
  <c r="I6" i="2"/>
  <c r="H6" i="2"/>
  <c r="G6" i="2"/>
  <c r="R6" i="2"/>
  <c r="Q6" i="2"/>
  <c r="P6" i="2"/>
  <c r="R16" i="2"/>
  <c r="Q16" i="2"/>
  <c r="P16" i="2"/>
  <c r="O16" i="2"/>
  <c r="N16" i="2"/>
  <c r="M16" i="2"/>
  <c r="L16" i="2"/>
  <c r="K16" i="2"/>
  <c r="J16" i="2"/>
  <c r="I16" i="2"/>
  <c r="H16" i="2"/>
  <c r="G16" i="2"/>
  <c r="R32" i="2"/>
  <c r="Q32" i="2"/>
  <c r="P32" i="2"/>
  <c r="O32" i="2"/>
  <c r="N32" i="2"/>
  <c r="M32" i="2"/>
  <c r="L32" i="2"/>
  <c r="K32" i="2"/>
  <c r="J32" i="2"/>
  <c r="I32" i="2"/>
  <c r="H32" i="2"/>
  <c r="G32" i="2"/>
  <c r="R67" i="2"/>
  <c r="Q67" i="2"/>
  <c r="P67" i="2"/>
  <c r="O67" i="2"/>
  <c r="N67" i="2"/>
  <c r="M67" i="2"/>
  <c r="L67" i="2"/>
  <c r="K67" i="2"/>
  <c r="J67" i="2"/>
  <c r="I67" i="2"/>
  <c r="H67" i="2"/>
  <c r="G67" i="2"/>
  <c r="G18" i="2"/>
  <c r="R18" i="2"/>
  <c r="Q18" i="2"/>
  <c r="P18" i="2"/>
  <c r="O18" i="2"/>
  <c r="N18" i="2"/>
  <c r="M18" i="2"/>
  <c r="L18" i="2"/>
  <c r="K18" i="2"/>
  <c r="J18" i="2"/>
  <c r="I18" i="2"/>
  <c r="H18" i="2"/>
  <c r="G33" i="2"/>
  <c r="R33" i="2"/>
  <c r="Q33" i="2"/>
  <c r="P33" i="2"/>
  <c r="O33" i="2"/>
  <c r="N33" i="2"/>
  <c r="M33" i="2"/>
  <c r="L33" i="2"/>
  <c r="K33" i="2"/>
  <c r="J33" i="2"/>
  <c r="I33" i="2"/>
  <c r="H33" i="2"/>
  <c r="N70" i="2"/>
  <c r="M70" i="2"/>
  <c r="L70" i="2"/>
  <c r="K70" i="2"/>
  <c r="J70" i="2"/>
  <c r="I70" i="2"/>
  <c r="H70" i="2"/>
  <c r="G70" i="2"/>
  <c r="R70" i="2"/>
  <c r="Q70" i="2"/>
  <c r="P70" i="2"/>
  <c r="O70" i="2"/>
  <c r="L44" i="2"/>
  <c r="K44" i="2"/>
  <c r="J44" i="2"/>
  <c r="I44" i="2"/>
  <c r="H44" i="2"/>
  <c r="G44" i="2"/>
  <c r="R44" i="2"/>
  <c r="Q44" i="2"/>
  <c r="P44" i="2"/>
  <c r="O44" i="2"/>
  <c r="N44" i="2"/>
  <c r="M44" i="2"/>
  <c r="M60" i="2"/>
  <c r="L60" i="2"/>
  <c r="K60" i="2"/>
  <c r="J60" i="2"/>
  <c r="I60" i="2"/>
  <c r="H60" i="2"/>
  <c r="G60" i="2"/>
  <c r="R60" i="2"/>
  <c r="Q60" i="2"/>
  <c r="P60" i="2"/>
  <c r="O60" i="2"/>
  <c r="N60" i="2"/>
  <c r="O40" i="2"/>
  <c r="N40" i="2"/>
  <c r="M40" i="2"/>
  <c r="L40" i="2"/>
  <c r="K40" i="2"/>
  <c r="J40" i="2"/>
  <c r="I40" i="2"/>
  <c r="H40" i="2"/>
  <c r="G40" i="2"/>
  <c r="R40" i="2"/>
  <c r="Q40" i="2"/>
  <c r="P40" i="2"/>
  <c r="R17" i="2"/>
  <c r="Q17" i="2"/>
  <c r="P17" i="2"/>
  <c r="O17" i="2"/>
  <c r="N17" i="2"/>
  <c r="M17" i="2"/>
  <c r="L17" i="2"/>
  <c r="K17" i="2"/>
  <c r="J17" i="2"/>
  <c r="I17" i="2"/>
  <c r="H17" i="2"/>
  <c r="G17" i="2"/>
  <c r="O35" i="2"/>
  <c r="N35" i="2"/>
  <c r="M35" i="2"/>
  <c r="L35" i="2"/>
  <c r="K35" i="2"/>
  <c r="J35" i="2"/>
  <c r="I35" i="2"/>
  <c r="H35" i="2"/>
  <c r="G35" i="2"/>
  <c r="R35" i="2"/>
  <c r="Q35" i="2"/>
  <c r="P35" i="2"/>
  <c r="L54" i="2"/>
  <c r="K54" i="2"/>
  <c r="J54" i="2"/>
  <c r="I54" i="2"/>
  <c r="H54" i="2"/>
  <c r="G54" i="2"/>
  <c r="R54" i="2"/>
  <c r="Q54" i="2"/>
  <c r="P54" i="2"/>
  <c r="O54" i="2"/>
  <c r="N54" i="2"/>
  <c r="M54" i="2"/>
  <c r="H38" i="2"/>
  <c r="G38" i="2"/>
  <c r="R38" i="2"/>
  <c r="Q38" i="2"/>
  <c r="P38" i="2"/>
  <c r="O38" i="2"/>
  <c r="N38" i="2"/>
  <c r="M38" i="2"/>
  <c r="L38" i="2"/>
  <c r="K38" i="2"/>
  <c r="J38" i="2"/>
  <c r="I38" i="2"/>
  <c r="O15" i="2"/>
  <c r="N15" i="2"/>
  <c r="M15" i="2"/>
  <c r="L15" i="2"/>
  <c r="K15" i="2"/>
  <c r="J15" i="2"/>
  <c r="I15" i="2"/>
  <c r="H15" i="2"/>
  <c r="G15" i="2"/>
  <c r="R15" i="2"/>
  <c r="Q15" i="2"/>
  <c r="P15" i="2"/>
  <c r="R62" i="2"/>
  <c r="Q62" i="2"/>
  <c r="P62" i="2"/>
  <c r="O62" i="2"/>
  <c r="N62" i="2"/>
  <c r="M62" i="2"/>
  <c r="L62" i="2"/>
  <c r="K62" i="2"/>
  <c r="J62" i="2"/>
  <c r="I62" i="2"/>
  <c r="H62" i="2"/>
  <c r="G62" i="2"/>
  <c r="R52" i="2"/>
  <c r="Q52" i="2"/>
  <c r="P52" i="2"/>
  <c r="O52" i="2"/>
  <c r="N52" i="2"/>
  <c r="M52" i="2"/>
  <c r="L52" i="2"/>
  <c r="K52" i="2"/>
  <c r="J52" i="2"/>
  <c r="I52" i="2"/>
  <c r="H52" i="2"/>
  <c r="G52" i="2"/>
  <c r="R22" i="2"/>
  <c r="Q22" i="2"/>
  <c r="P22" i="2"/>
  <c r="O22" i="2"/>
  <c r="N22" i="2"/>
  <c r="M22" i="2"/>
  <c r="L22" i="2"/>
  <c r="K22" i="2"/>
  <c r="J22" i="2"/>
  <c r="I22" i="2"/>
  <c r="H22" i="2"/>
  <c r="G22" i="2"/>
  <c r="I49" i="2"/>
  <c r="H49" i="2"/>
  <c r="G49" i="2"/>
  <c r="R49" i="2"/>
  <c r="Q49" i="2"/>
  <c r="P49" i="2"/>
  <c r="O49" i="2"/>
  <c r="N49" i="2"/>
  <c r="M49" i="2"/>
  <c r="L49" i="2"/>
  <c r="K49" i="2"/>
  <c r="J49" i="2"/>
  <c r="J34" i="2"/>
  <c r="I34" i="2"/>
  <c r="H34" i="2"/>
  <c r="G34" i="2"/>
  <c r="R34" i="2"/>
  <c r="Q34" i="2"/>
  <c r="P34" i="2"/>
  <c r="O34" i="2"/>
  <c r="N34" i="2"/>
  <c r="M34" i="2"/>
  <c r="L34" i="2"/>
  <c r="K34" i="2"/>
  <c r="J69" i="2"/>
  <c r="I69" i="2"/>
  <c r="H69" i="2"/>
  <c r="G69" i="2"/>
  <c r="R69" i="2"/>
  <c r="Q69" i="2"/>
  <c r="P69" i="2"/>
  <c r="O69" i="2"/>
  <c r="N69" i="2"/>
  <c r="M69" i="2"/>
  <c r="L69" i="2"/>
  <c r="K69" i="2"/>
  <c r="R53" i="2"/>
  <c r="Q53" i="2"/>
  <c r="P53" i="2"/>
  <c r="O53" i="2"/>
  <c r="N53" i="2"/>
  <c r="M53" i="2"/>
  <c r="L53" i="2"/>
  <c r="K53" i="2"/>
  <c r="J53" i="2"/>
  <c r="I53" i="2"/>
  <c r="H53" i="2"/>
  <c r="G53" i="2"/>
  <c r="R46" i="2"/>
  <c r="Q46" i="2"/>
  <c r="P46" i="2"/>
  <c r="O46" i="2"/>
  <c r="N46" i="2"/>
  <c r="M46" i="2"/>
  <c r="L46" i="2"/>
  <c r="K46" i="2"/>
  <c r="J46" i="2"/>
  <c r="I46" i="2"/>
  <c r="H46" i="2"/>
  <c r="G46" i="2"/>
  <c r="R58" i="2"/>
  <c r="Q58" i="2"/>
  <c r="P58" i="2"/>
  <c r="O58" i="2"/>
  <c r="N58" i="2"/>
  <c r="M58" i="2"/>
  <c r="L58" i="2"/>
  <c r="K58" i="2"/>
  <c r="J58" i="2"/>
  <c r="I58" i="2"/>
  <c r="H58" i="2"/>
  <c r="G58" i="2"/>
  <c r="R24" i="2"/>
  <c r="Q24" i="2"/>
  <c r="P24" i="2"/>
  <c r="O24" i="2"/>
  <c r="N24" i="2"/>
  <c r="M24" i="2"/>
  <c r="L24" i="2"/>
  <c r="K24" i="2"/>
  <c r="J24" i="2"/>
  <c r="I24" i="2"/>
  <c r="H24" i="2"/>
  <c r="G24" i="2"/>
  <c r="F42" i="2"/>
  <c r="R42" i="2" l="1"/>
  <c r="Q42" i="2"/>
  <c r="P42" i="2"/>
  <c r="O42" i="2"/>
  <c r="N42" i="2"/>
  <c r="M42" i="2"/>
  <c r="L42" i="2"/>
  <c r="K42" i="2"/>
  <c r="J42" i="2"/>
  <c r="I42" i="2"/>
  <c r="H42" i="2"/>
  <c r="G42" i="2"/>
</calcChain>
</file>

<file path=xl/sharedStrings.xml><?xml version="1.0" encoding="utf-8"?>
<sst xmlns="http://schemas.openxmlformats.org/spreadsheetml/2006/main" count="242" uniqueCount="172">
  <si>
    <t>AI 테스트 종합</t>
  </si>
  <si>
    <t>#</t>
  </si>
  <si>
    <t>개요</t>
  </si>
  <si>
    <t>deepseekr1</t>
  </si>
  <si>
    <t>Qwen 2.5max</t>
  </si>
  <si>
    <t>o3mini high</t>
  </si>
  <si>
    <t>Tulu3</t>
  </si>
  <si>
    <t>gemini2flash</t>
  </si>
  <si>
    <t>gemini2pro</t>
  </si>
  <si>
    <t>llama3.3</t>
  </si>
  <si>
    <t>grok 2</t>
  </si>
  <si>
    <t>Mistral</t>
  </si>
  <si>
    <t>kimi 1.5</t>
  </si>
  <si>
    <t>clovaX</t>
  </si>
  <si>
    <t>Exaone</t>
  </si>
  <si>
    <t>Luxia 2</t>
  </si>
  <si>
    <t>grok 3</t>
  </si>
  <si>
    <t>Claude 3.5s</t>
  </si>
  <si>
    <t>Claude3.7s</t>
  </si>
  <si>
    <t>Qwen2.5Max</t>
  </si>
  <si>
    <t>kanana</t>
  </si>
  <si>
    <t>ChatGPT4.5</t>
  </si>
  <si>
    <t>Mercury coder</t>
  </si>
  <si>
    <t>Solar pro</t>
  </si>
  <si>
    <t>QwQ-32b</t>
  </si>
  <si>
    <t>Phi4</t>
  </si>
  <si>
    <t>Gemma3</t>
  </si>
  <si>
    <t>Command A</t>
  </si>
  <si>
    <t>Reka Flash 3</t>
  </si>
  <si>
    <t>Ernie x1</t>
  </si>
  <si>
    <t>Hunyuan T1</t>
  </si>
  <si>
    <t>Deepseekv30324</t>
  </si>
  <si>
    <t>gemini 2.5 pro exp.</t>
  </si>
  <si>
    <t>Llama4 scout</t>
  </si>
  <si>
    <t>Llama4 Maverick</t>
  </si>
  <si>
    <t>Quasar Alpha</t>
  </si>
  <si>
    <t>Cogito v1</t>
  </si>
  <si>
    <t>Zyphra ZR1</t>
  </si>
  <si>
    <t>Optimus Alpha</t>
  </si>
  <si>
    <t>Deepcoder</t>
  </si>
  <si>
    <t>Exaone deep</t>
  </si>
  <si>
    <t>GPT 4.1 mini</t>
  </si>
  <si>
    <t>GPT 4.1</t>
  </si>
  <si>
    <t>o3</t>
  </si>
  <si>
    <t>o4 mini</t>
  </si>
  <si>
    <t>o4 mini high</t>
  </si>
  <si>
    <t>gemini 2.5 Flash</t>
  </si>
  <si>
    <t>Gemma 3 QAT</t>
  </si>
  <si>
    <t>Grok 3 mini</t>
  </si>
  <si>
    <t>BitNet b1.58</t>
  </si>
  <si>
    <t>ClovaX seed bf16</t>
  </si>
  <si>
    <t>ClovaX seed Q8</t>
  </si>
  <si>
    <t>Ernie X1 Turbo</t>
  </si>
  <si>
    <t>Ernie 4.5 Turbo</t>
  </si>
  <si>
    <t>DeepCoder</t>
  </si>
  <si>
    <t>Qwen3 235A22B</t>
  </si>
  <si>
    <t>Qwen3 30A3B</t>
  </si>
  <si>
    <t>Qwen3 32</t>
  </si>
  <si>
    <t>Qwen3 14</t>
  </si>
  <si>
    <t>Qwen3 8</t>
  </si>
  <si>
    <t>정답률</t>
  </si>
  <si>
    <t>size</t>
  </si>
  <si>
    <t>Evironment</t>
  </si>
  <si>
    <t>groq</t>
  </si>
  <si>
    <t>Lmstudio</t>
  </si>
  <si>
    <t>Wrtn</t>
  </si>
  <si>
    <t>cerebras</t>
  </si>
  <si>
    <t>le chat</t>
  </si>
  <si>
    <t>H/F</t>
  </si>
  <si>
    <t>OpenWebUI</t>
  </si>
  <si>
    <t>lmarena</t>
  </si>
  <si>
    <t>beta</t>
  </si>
  <si>
    <t>github</t>
  </si>
  <si>
    <t>AIstudio</t>
  </si>
  <si>
    <t>OpenRouter</t>
  </si>
  <si>
    <t>Groq</t>
  </si>
  <si>
    <t>Ollama</t>
  </si>
  <si>
    <t>LMStudio</t>
  </si>
  <si>
    <t>Playground</t>
  </si>
  <si>
    <t>API / JN</t>
  </si>
  <si>
    <t>Azure</t>
  </si>
  <si>
    <t>WSL</t>
  </si>
  <si>
    <t>Jupyter NB</t>
  </si>
  <si>
    <t>optoins (R: reasoning)</t>
  </si>
  <si>
    <t>R</t>
  </si>
  <si>
    <t>2025.4.25</t>
  </si>
  <si>
    <t>2025.4.27</t>
  </si>
  <si>
    <t>2025.4.29</t>
  </si>
  <si>
    <t>2025.4.30</t>
  </si>
  <si>
    <t>AABABCABCD 다음은?</t>
  </si>
  <si>
    <t>어떤 수에 5를더하면 2배보다 3작음. 어떤 수는?</t>
  </si>
  <si>
    <t>패턴. 빨강,파랑,노랑,초록,보라.  57번째 색은?</t>
  </si>
  <si>
    <t>A가 B보다 먼저,C보다 늦게,D는 E보다 먼저,B보다 늦게.전체순서는?</t>
  </si>
  <si>
    <t>검은모자x2개, 흰모자 x2개. 3명이 앞만 볼 수 있을 때. 맨 앞사람 모자색?</t>
  </si>
  <si>
    <t>26개 동전 중 1개 가짜 동전. 최소 몇 번의 양팔 저울질로 가짜 구분?</t>
  </si>
  <si>
    <t>현재 아버지 나이가 아들의 4배,5년 전에는 아들의 5배,아빠 나이는?</t>
  </si>
  <si>
    <t>세명의 용의자 중1명은 진실 2명은 거짓말함. 범인은?</t>
  </si>
  <si>
    <t>8면체 주사위 2개 던질 때, 두 수의 곱이 합보다 큰 확률은?</t>
  </si>
  <si>
    <t>엔지니어링: USD 설계방법으로 필요 철근량 구하기.</t>
  </si>
  <si>
    <t>코딩: 2차방정식 a,b,c 입력 받아 근 구하고 그래프 그리는 웹앱</t>
  </si>
  <si>
    <t xml:space="preserve">코딩: I-Beam 제원 입력받아 그리기 및 단면적계산 </t>
  </si>
  <si>
    <t>점수</t>
  </si>
  <si>
    <t>Model</t>
  </si>
  <si>
    <t>Env.</t>
  </si>
  <si>
    <t>Point</t>
  </si>
  <si>
    <t>Test Date</t>
  </si>
  <si>
    <t>모델명</t>
  </si>
  <si>
    <t>추론</t>
  </si>
  <si>
    <t>멀티모달</t>
  </si>
  <si>
    <t>검색</t>
  </si>
  <si>
    <t>canvas</t>
  </si>
  <si>
    <t>code</t>
  </si>
  <si>
    <t>이미지</t>
  </si>
  <si>
    <t>파일첨부</t>
  </si>
  <si>
    <t>URL</t>
  </si>
  <si>
    <t>ETC</t>
  </si>
  <si>
    <t>interpreter</t>
  </si>
  <si>
    <t>preview</t>
  </si>
  <si>
    <t>생성</t>
  </si>
  <si>
    <t>img</t>
  </si>
  <si>
    <t>pdf</t>
  </si>
  <si>
    <t>doc</t>
  </si>
  <si>
    <t>xlsx</t>
  </si>
  <si>
    <t>ppt</t>
  </si>
  <si>
    <t>g.docs</t>
  </si>
  <si>
    <t>txt</t>
  </si>
  <si>
    <t>kimi.ai</t>
  </si>
  <si>
    <t>Mistral Le chat</t>
  </si>
  <si>
    <t>chat.mistral.ai/</t>
  </si>
  <si>
    <t>claude</t>
  </si>
  <si>
    <t>claude.ai</t>
  </si>
  <si>
    <t>cohere</t>
  </si>
  <si>
    <t>cohere.com/</t>
  </si>
  <si>
    <t>Reka</t>
  </si>
  <si>
    <t>reka.ai</t>
  </si>
  <si>
    <t>Space</t>
  </si>
  <si>
    <t>문제 1</t>
    <phoneticPr fontId="7" type="noConversion"/>
  </si>
  <si>
    <t>문제 2</t>
  </si>
  <si>
    <t>문제 3</t>
  </si>
  <si>
    <t>문제 4</t>
  </si>
  <si>
    <t>문제 5</t>
  </si>
  <si>
    <t>문제 6</t>
  </si>
  <si>
    <t>문제 7</t>
  </si>
  <si>
    <t>문제 8</t>
  </si>
  <si>
    <t>문제 9</t>
  </si>
  <si>
    <t>문제 10</t>
  </si>
  <si>
    <t>문제 11</t>
  </si>
  <si>
    <t>문제 12</t>
  </si>
  <si>
    <r>
      <t xml:space="preserve">AABABCABCD </t>
    </r>
    <r>
      <rPr>
        <sz val="10"/>
        <color rgb="FF000000"/>
        <rFont val="맑은 고딕"/>
        <family val="2"/>
        <charset val="129"/>
      </rPr>
      <t>다음에 올 문자열은 무엇입니까? 패턴을 분석하고 설명해주세요.</t>
    </r>
    <phoneticPr fontId="7" type="noConversion"/>
  </si>
  <si>
    <t>AABABCABCDABCDE</t>
    <phoneticPr fontId="7" type="noConversion"/>
  </si>
  <si>
    <t>x + 5 = 2x - 3
8</t>
    <phoneticPr fontId="7" type="noConversion"/>
  </si>
  <si>
    <t>파랑</t>
    <phoneticPr fontId="7" type="noConversion"/>
  </si>
  <si>
    <t>다섯 명이 사과를 먹고 있습니다. A는 B보다 먼저 먹었지만 C보다는 늦게 먹었습니다.
D는 E보다 만저 먹었지만 B보다는 늦게 먹었습니다.
사과를 먹은 순서는 어떻게 될까요?</t>
    <phoneticPr fontId="7" type="noConversion"/>
  </si>
  <si>
    <t>빨강, 파랑, 노랑, 초록, 보라 순서로 색상이 반복되는 패턴이 있습니다.
57번째 색상은 무엇일까요?</t>
    <phoneticPr fontId="7" type="noConversion"/>
  </si>
  <si>
    <r>
      <rPr>
        <sz val="10"/>
        <color rgb="FF000000"/>
        <rFont val="맑은 고딕"/>
        <family val="3"/>
        <charset val="129"/>
      </rPr>
      <t xml:space="preserve">어떤 수에 5를 더하면 그 수의 2배보다 3이 작습니다.
이 수를 </t>
    </r>
    <r>
      <rPr>
        <sz val="10"/>
        <color rgb="FF000000"/>
        <rFont val="Arial"/>
        <family val="3"/>
      </rPr>
      <t>x</t>
    </r>
    <r>
      <rPr>
        <sz val="10"/>
        <color rgb="FF000000"/>
        <rFont val="맑은 고딕"/>
        <family val="3"/>
        <charset val="129"/>
      </rPr>
      <t xml:space="preserve">라고 할 때, </t>
    </r>
    <r>
      <rPr>
        <sz val="10"/>
        <color rgb="FF000000"/>
        <rFont val="Arial"/>
        <family val="3"/>
      </rPr>
      <t>x</t>
    </r>
    <r>
      <rPr>
        <sz val="10"/>
        <color rgb="FF000000"/>
        <rFont val="맑은 고딕"/>
        <family val="3"/>
        <charset val="129"/>
      </rPr>
      <t>의 값을 구하는 방정식을 세우고 풀어보세요.</t>
    </r>
    <phoneticPr fontId="7" type="noConversion"/>
  </si>
  <si>
    <t>C, A, B, D, E</t>
    <phoneticPr fontId="7" type="noConversion"/>
  </si>
  <si>
    <t>세 명이 일렬로 서 있습니다.
가장 뒤에 있는 사람은 앞의 두 사람의 모자를 볼 수 있고, 중간에 있는 사람은 맨 앞 사람의 모자를 볼 수 있습니다.
맨 앞 사람은 아무도 볼 수 없습니다.
그들은 검은 모자 3개와 흰 모자 2개 중에서 모자를 쓰게 됩니다. 가장 뒷사람부터 차례로 질물은 했습니다.
가장 뒤에 있는 사람에게 자신의 모자 색을 아는지 물었더니 모른다고 합니다. 중간 사람도 모른다고 합니다.
그런데 맨 앞사람이 자산의 모자 색을 안다고 합니다. 맨 앞 사람은 어떻게 알 수 있었을 까요?</t>
    <phoneticPr fontId="7" type="noConversion"/>
  </si>
  <si>
    <t>마지막 사람이 모르는 이유: 앞사람들의 모자 색이 검은색, 흰색이 있음.
중간 사람이 모르는 이유는 앞사람이 흰색일 경우에만 검은색임
앞사람은 뒤 사람들의 대답을 종합하여 검은색 모자임을 유추할 수 있음
검은색</t>
    <phoneticPr fontId="7" type="noConversion"/>
  </si>
  <si>
    <r>
      <t>26</t>
    </r>
    <r>
      <rPr>
        <sz val="10"/>
        <color rgb="FF000000"/>
        <rFont val="맑은 고딕"/>
        <family val="3"/>
        <charset val="129"/>
      </rPr>
      <t>개의 똑같이 생긴 동전 중 하나는 다른 동전보다 가벼운 가짜 동전입니다.
눈금이 없는 양팔저울만 사용해서 이 가짜 동전을 찾아내려면, 최소 몇 번 저울질을 해야 할까요?</t>
    </r>
    <phoneticPr fontId="7" type="noConversion"/>
  </si>
  <si>
    <r>
      <t>3</t>
    </r>
    <r>
      <rPr>
        <sz val="10"/>
        <color rgb="FF000000"/>
        <rFont val="맑은 고딕"/>
        <family val="3"/>
        <charset val="129"/>
      </rPr>
      <t>번</t>
    </r>
    <phoneticPr fontId="7" type="noConversion"/>
  </si>
  <si>
    <r>
      <rPr>
        <sz val="10"/>
        <color rgb="FF000000"/>
        <rFont val="맑은 고딕"/>
        <family val="3"/>
        <charset val="129"/>
      </rPr>
      <t xml:space="preserve">현재 아버지의 나이는 아들 나이의 4배입니다.
</t>
    </r>
    <r>
      <rPr>
        <sz val="10"/>
        <color rgb="FF000000"/>
        <rFont val="Arial"/>
        <scheme val="minor"/>
      </rPr>
      <t>5</t>
    </r>
    <r>
      <rPr>
        <sz val="10"/>
        <color rgb="FF000000"/>
        <rFont val="맑은 고딕"/>
        <family val="3"/>
        <charset val="129"/>
      </rPr>
      <t>년 전에는 아버지의 나이가 아들 나이의 5배였습니다.
현재 아버지의 나이는 몇 살일까요?</t>
    </r>
    <phoneticPr fontId="7" type="noConversion"/>
  </si>
  <si>
    <t>세 명의 용의자 A, B, C 중 한 명이 범인입니다. A는 "내가 범인이 아니다"라고 말합니다.
B는 "A가 범인이다."라고 말합니다. C는 "B가 범인이 아니다"라고 말합니다.
만약 이들 중 단 한명만 진실을 말하고 있다면, 누가 범인일까요?</t>
    <phoneticPr fontId="7" type="noConversion"/>
  </si>
  <si>
    <r>
      <t>4x - 5 = 5(x -5)
80</t>
    </r>
    <r>
      <rPr>
        <sz val="10"/>
        <color rgb="FF000000"/>
        <rFont val="맑은 고딕"/>
        <family val="3"/>
        <charset val="129"/>
      </rPr>
      <t>세</t>
    </r>
    <phoneticPr fontId="7" type="noConversion"/>
  </si>
  <si>
    <t>B</t>
    <phoneticPr fontId="7" type="noConversion"/>
  </si>
  <si>
    <t>두 개의 8면체 주사위는 각각 1부터 8까지 번호가 매겨진 면을 가지고 있습니다.
주사위를 굴리면, 각 면이 위로 올 확률은 동일합니다.
두 숫자의 곱이 그들의 합보다 클 확률은 얼마입니까? 답을 기약분수로 표현하세요</t>
    <phoneticPr fontId="7" type="noConversion"/>
  </si>
  <si>
    <t>3/4</t>
    <phoneticPr fontId="7" type="noConversion"/>
  </si>
  <si>
    <t>너는 civil engineer야. fck=35MPa, fy=400MPa, b=1000mm, h=800mm, cover(표면~철근중심)=80mm, 강도감소계수=0.85, Mu=1000kN.m일 때 USD 설계법으로 필요철근량을 구하라.</t>
    <phoneticPr fontId="7" type="noConversion"/>
  </si>
  <si>
    <t>4255mm^2</t>
    <phoneticPr fontId="7" type="noConversion"/>
  </si>
  <si>
    <t>사용자로부터 2차 방정식의 a,b,c를 입력받은 후 근을 구하는 과정을 보여주는 웹 앱을 만들어.
HTML에 js를 포함시켜. Mathjax를 사용하여 모든 수식을 렌더링해.
근을 보여주는 부분의 아래에 2차방정식 그래프를 그리는 부분을 추가해줘.
그래프는 chart.js를 적용해. 그래프에 두 근을 표시하고, 두 근이 보이도록 x축의 범위를 적절하게 조정해줘.</t>
    <phoneticPr fontId="7" type="noConversion"/>
  </si>
  <si>
    <r>
      <t xml:space="preserve">html </t>
    </r>
    <r>
      <rPr>
        <sz val="10"/>
        <color rgb="FF000000"/>
        <rFont val="Arial"/>
        <family val="3"/>
        <charset val="129"/>
        <scheme val="minor"/>
      </rPr>
      <t>코드</t>
    </r>
    <r>
      <rPr>
        <sz val="10"/>
        <color rgb="FF000000"/>
        <rFont val="Arial"/>
        <family val="2"/>
        <scheme val="minor"/>
      </rPr>
      <t xml:space="preserve"> a, b, c</t>
    </r>
    <phoneticPr fontId="7" type="noConversion"/>
  </si>
  <si>
    <r>
      <t>i-beam</t>
    </r>
    <r>
      <rPr>
        <sz val="10"/>
        <color rgb="FF000000"/>
        <rFont val="맑은 고딕"/>
        <family val="3"/>
        <charset val="129"/>
      </rPr>
      <t xml:space="preserve">의 제원을 사용자로부터 입력 받아서 그리는 웹앱을 만들어줘.
</t>
    </r>
    <r>
      <rPr>
        <sz val="10"/>
        <color rgb="FF000000"/>
        <rFont val="Arial"/>
        <family val="3"/>
      </rPr>
      <t>i-beam</t>
    </r>
    <r>
      <rPr>
        <sz val="10"/>
        <color rgb="FF000000"/>
        <rFont val="맑은 고딕"/>
        <family val="3"/>
        <charset val="129"/>
      </rPr>
      <t xml:space="preserve">의 단면적과 단면적을 구하는 과정을 보여주는 기능도 추가해. </t>
    </r>
    <r>
      <rPr>
        <sz val="10"/>
        <color rgb="FF000000"/>
        <rFont val="Arial"/>
        <family val="3"/>
      </rPr>
      <t>html</t>
    </r>
    <r>
      <rPr>
        <sz val="10"/>
        <color rgb="FF000000"/>
        <rFont val="맑은 고딕"/>
        <family val="3"/>
        <charset val="129"/>
      </rPr>
      <t>에 js를 포함해줘.
입력받을 제원은 상부 및 하부 플랜지 폭과 두께, 웹의 높이와 두께. 단위는 mm.
제원의 초기값으로 아래의 값을 적용해.
상부 및 하부 플랜지: 폭 300mm, 두께 15mm
웹: 높이 270mm, 두께 10mm.</t>
    </r>
    <phoneticPr fontId="7" type="noConversion"/>
  </si>
  <si>
    <t>상부 플랜지 폭: 300
상부 플랜지 두께: 15
하부 플랜지 폭: 300
하부 플랜지 두께: 15
웹 높이: 270
웹 두께: 10
11700mm^2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</si>
</sst>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mm&quot;월&quot;\ dd&quot;일&quot;"/>
  </numFmts>
  <fonts count="13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0"/>
      <color theme="1"/>
      <name val="Arial"/>
      <scheme val="minor"/>
    </font>
    <font>
      <sz val="10"/>
      <color rgb="FF1F1F1F"/>
      <name val="&quot;Google Sans Mono&quot;"/>
    </font>
    <font>
      <sz val="10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rgb="FF000000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맑은 고딕"/>
      <family val="2"/>
      <charset val="129"/>
    </font>
    <font>
      <sz val="10"/>
      <color rgb="FF000000"/>
      <name val="Arial"/>
      <family val="3"/>
    </font>
    <font>
      <sz val="10"/>
      <color rgb="FF000000"/>
      <name val="Arial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76" fontId="2" fillId="0" borderId="1" xfId="0" applyNumberFormat="1" applyFont="1" applyBorder="1"/>
    <xf numFmtId="9" fontId="3" fillId="0" borderId="1" xfId="0" applyNumberFormat="1" applyFont="1" applyBorder="1" applyAlignment="1">
      <alignment horizontal="center"/>
    </xf>
    <xf numFmtId="9" fontId="3" fillId="0" borderId="2" xfId="0" applyNumberFormat="1" applyFont="1" applyBorder="1" applyAlignment="1">
      <alignment horizontal="center"/>
    </xf>
    <xf numFmtId="0" fontId="2" fillId="0" borderId="0" xfId="0" applyFont="1"/>
    <xf numFmtId="9" fontId="2" fillId="0" borderId="1" xfId="0" applyNumberFormat="1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9" fontId="2" fillId="0" borderId="3" xfId="0" applyNumberFormat="1" applyFont="1" applyBorder="1"/>
    <xf numFmtId="0" fontId="2" fillId="0" borderId="3" xfId="0" applyFont="1" applyBorder="1" applyAlignment="1">
      <alignment horizontal="left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9" fontId="2" fillId="0" borderId="4" xfId="0" applyNumberFormat="1" applyFont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9" fontId="2" fillId="2" borderId="1" xfId="0" applyNumberFormat="1" applyFont="1" applyFill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9" fontId="2" fillId="0" borderId="5" xfId="0" applyNumberFormat="1" applyFont="1" applyBorder="1"/>
    <xf numFmtId="9" fontId="2" fillId="0" borderId="0" xfId="0" applyNumberFormat="1" applyFont="1"/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9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8" fillId="0" borderId="0" xfId="0" applyFont="1" applyAlignment="1">
      <alignment wrapText="1"/>
    </xf>
    <xf numFmtId="177" fontId="6" fillId="0" borderId="0" xfId="0" quotePrefix="1" applyNumberFormat="1" applyFont="1"/>
  </cellXfs>
  <cellStyles count="1">
    <cellStyle name="표준" xfId="0" builtinId="0"/>
  </cellStyles>
  <dxfs count="4">
    <dxf>
      <font>
        <color theme="0"/>
      </font>
      <fill>
        <patternFill patternType="solid">
          <fgColor theme="0"/>
          <bgColor theme="0"/>
        </patternFill>
      </fill>
    </dxf>
    <dxf>
      <font>
        <color rgb="FF0000FF"/>
      </font>
      <fill>
        <patternFill patternType="solid">
          <fgColor rgb="FF0000FF"/>
          <bgColor rgb="FF0000FF"/>
        </patternFill>
      </fill>
    </dxf>
    <dxf>
      <fill>
        <patternFill patternType="solid">
          <fgColor theme="5"/>
          <bgColor theme="5"/>
        </patternFill>
      </fill>
    </dxf>
    <dxf>
      <fill>
        <patternFill patternType="solid">
          <fgColor rgb="FF0000FF"/>
          <bgColor rgb="FF000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6350</xdr:colOff>
      <xdr:row>6</xdr:row>
      <xdr:rowOff>412751</xdr:rowOff>
    </xdr:from>
    <xdr:to>
      <xdr:col>16</xdr:col>
      <xdr:colOff>447332</xdr:colOff>
      <xdr:row>11</xdr:row>
      <xdr:rowOff>42337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DE226C3-B895-9074-6EA3-4F4CF9408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18750" y="3867151"/>
          <a:ext cx="8365782" cy="247438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800100</xdr:rowOff>
    </xdr:from>
    <xdr:to>
      <xdr:col>8</xdr:col>
      <xdr:colOff>334127</xdr:colOff>
      <xdr:row>22</xdr:row>
      <xdr:rowOff>31750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DFA53CD-E9E7-8694-3A1A-07F268475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12400" y="6286500"/>
          <a:ext cx="3382127" cy="3187700"/>
        </a:xfrm>
        <a:prstGeom prst="rect">
          <a:avLst/>
        </a:prstGeom>
      </xdr:spPr>
    </xdr:pic>
    <xdr:clientData/>
  </xdr:twoCellAnchor>
  <xdr:twoCellAnchor editAs="oneCell">
    <xdr:from>
      <xdr:col>8</xdr:col>
      <xdr:colOff>215900</xdr:colOff>
      <xdr:row>11</xdr:row>
      <xdr:rowOff>298450</xdr:rowOff>
    </xdr:from>
    <xdr:to>
      <xdr:col>12</xdr:col>
      <xdr:colOff>158750</xdr:colOff>
      <xdr:row>12</xdr:row>
      <xdr:rowOff>20333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780364B-58BD-80D0-D613-C688E5B72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76300" y="6597650"/>
          <a:ext cx="2381250" cy="11442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claude.ai/" TargetMode="External"/><Relationship Id="rId2" Type="http://schemas.openxmlformats.org/officeDocument/2006/relationships/hyperlink" Target="https://chat.mistral.ai/chat" TargetMode="External"/><Relationship Id="rId1" Type="http://schemas.openxmlformats.org/officeDocument/2006/relationships/hyperlink" Target="http://kimi.ai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reka.ai/" TargetMode="External"/><Relationship Id="rId4" Type="http://schemas.openxmlformats.org/officeDocument/2006/relationships/hyperlink" Target="https://cohere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BV21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C9" sqref="C9"/>
    </sheetView>
  </sheetViews>
  <sheetFormatPr defaultColWidth="12.6328125" defaultRowHeight="15.75" customHeight="1"/>
  <cols>
    <col min="1" max="2" width="2.90625" customWidth="1"/>
    <col min="3" max="3" width="54.453125" customWidth="1"/>
    <col min="4" max="4" width="11.453125" customWidth="1"/>
    <col min="5" max="5" width="10.36328125" customWidth="1"/>
    <col min="6" max="6" width="9.453125" customWidth="1"/>
    <col min="7" max="7" width="6.08984375" customWidth="1"/>
    <col min="8" max="9" width="9.7265625" customWidth="1"/>
    <col min="10" max="10" width="10.36328125" customWidth="1"/>
    <col min="11" max="11" width="10" customWidth="1"/>
    <col min="13" max="13" width="8.7265625" customWidth="1"/>
    <col min="14" max="14" width="9.90625" customWidth="1"/>
    <col min="15" max="15" width="9" customWidth="1"/>
    <col min="16" max="16" width="8.08984375" customWidth="1"/>
    <col min="17" max="17" width="6" customWidth="1"/>
    <col min="18" max="18" width="8.36328125" customWidth="1"/>
    <col min="19" max="19" width="10.90625" customWidth="1"/>
    <col min="20" max="21" width="6.36328125" customWidth="1"/>
    <col min="22" max="22" width="6.90625" customWidth="1"/>
    <col min="23" max="23" width="5.6328125" customWidth="1"/>
    <col min="24" max="24" width="9.90625" customWidth="1"/>
    <col min="25" max="25" width="9.36328125" customWidth="1"/>
    <col min="26" max="26" width="10.90625" customWidth="1"/>
    <col min="27" max="28" width="10.08984375" customWidth="1"/>
    <col min="29" max="29" width="10.36328125" customWidth="1"/>
    <col min="30" max="30" width="11.6328125" customWidth="1"/>
    <col min="31" max="31" width="7.7265625" customWidth="1"/>
    <col min="32" max="32" width="8.08984375" customWidth="1"/>
    <col min="33" max="33" width="7.7265625" customWidth="1"/>
    <col min="34" max="34" width="7.90625" customWidth="1"/>
    <col min="35" max="37" width="10.08984375" customWidth="1"/>
    <col min="38" max="41" width="10.26953125" customWidth="1"/>
    <col min="42" max="42" width="14" customWidth="1"/>
    <col min="43" max="43" width="15.08984375" customWidth="1"/>
    <col min="44" max="44" width="10.90625" customWidth="1"/>
    <col min="45" max="45" width="13.6328125" customWidth="1"/>
    <col min="46" max="48" width="11.26953125" customWidth="1"/>
    <col min="49" max="60" width="13" customWidth="1"/>
    <col min="61" max="61" width="9.453125" customWidth="1"/>
    <col min="62" max="63" width="10.08984375" customWidth="1"/>
    <col min="64" max="64" width="14.08984375" customWidth="1"/>
    <col min="65" max="73" width="13.08984375" customWidth="1"/>
    <col min="74" max="74" width="5.7265625" customWidth="1"/>
  </cols>
  <sheetData>
    <row r="2" spans="1:74" ht="15.75" customHeight="1">
      <c r="C2" s="1" t="s">
        <v>0</v>
      </c>
    </row>
    <row r="4" spans="1:74" ht="15.75" customHeight="1">
      <c r="A4" s="2"/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3</v>
      </c>
      <c r="I4" s="3" t="s">
        <v>3</v>
      </c>
      <c r="J4" s="3" t="s">
        <v>7</v>
      </c>
      <c r="K4" s="3" t="s">
        <v>8</v>
      </c>
      <c r="L4" s="3" t="s">
        <v>9</v>
      </c>
      <c r="M4" s="3" t="s">
        <v>10</v>
      </c>
      <c r="N4" s="3" t="s">
        <v>11</v>
      </c>
      <c r="O4" s="3" t="s">
        <v>12</v>
      </c>
      <c r="P4" s="3" t="s">
        <v>12</v>
      </c>
      <c r="Q4" s="3" t="s">
        <v>13</v>
      </c>
      <c r="R4" s="3" t="s">
        <v>14</v>
      </c>
      <c r="S4" s="3" t="s">
        <v>14</v>
      </c>
      <c r="T4" s="3" t="s">
        <v>15</v>
      </c>
      <c r="U4" s="3" t="s">
        <v>15</v>
      </c>
      <c r="V4" s="3" t="s">
        <v>16</v>
      </c>
      <c r="W4" s="3" t="s">
        <v>16</v>
      </c>
      <c r="X4" s="4" t="s">
        <v>17</v>
      </c>
      <c r="Y4" s="4" t="s">
        <v>18</v>
      </c>
      <c r="Z4" s="4" t="s">
        <v>19</v>
      </c>
      <c r="AA4" s="3" t="s">
        <v>20</v>
      </c>
      <c r="AB4" s="3" t="s">
        <v>3</v>
      </c>
      <c r="AC4" s="4" t="s">
        <v>21</v>
      </c>
      <c r="AD4" s="3" t="s">
        <v>22</v>
      </c>
      <c r="AE4" s="3" t="s">
        <v>23</v>
      </c>
      <c r="AF4" s="4" t="s">
        <v>24</v>
      </c>
      <c r="AG4" s="3" t="s">
        <v>25</v>
      </c>
      <c r="AH4" s="4" t="s">
        <v>26</v>
      </c>
      <c r="AI4" s="3" t="s">
        <v>26</v>
      </c>
      <c r="AJ4" s="3" t="s">
        <v>26</v>
      </c>
      <c r="AK4" s="3" t="s">
        <v>26</v>
      </c>
      <c r="AL4" s="5" t="s">
        <v>27</v>
      </c>
      <c r="AM4" s="5" t="s">
        <v>28</v>
      </c>
      <c r="AN4" s="5" t="s">
        <v>29</v>
      </c>
      <c r="AO4" s="5" t="s">
        <v>30</v>
      </c>
      <c r="AP4" s="5" t="s">
        <v>31</v>
      </c>
      <c r="AQ4" s="5" t="s">
        <v>32</v>
      </c>
      <c r="AR4" s="5" t="s">
        <v>33</v>
      </c>
      <c r="AS4" s="5" t="s">
        <v>34</v>
      </c>
      <c r="AT4" s="5" t="s">
        <v>35</v>
      </c>
      <c r="AU4" s="5" t="s">
        <v>36</v>
      </c>
      <c r="AV4" s="5" t="s">
        <v>36</v>
      </c>
      <c r="AW4" s="5" t="s">
        <v>37</v>
      </c>
      <c r="AX4" s="5" t="s">
        <v>38</v>
      </c>
      <c r="AY4" s="5" t="s">
        <v>39</v>
      </c>
      <c r="AZ4" s="5" t="s">
        <v>40</v>
      </c>
      <c r="BA4" s="5" t="s">
        <v>40</v>
      </c>
      <c r="BB4" s="5" t="s">
        <v>41</v>
      </c>
      <c r="BC4" s="5" t="s">
        <v>42</v>
      </c>
      <c r="BD4" s="5" t="s">
        <v>43</v>
      </c>
      <c r="BE4" s="5" t="s">
        <v>44</v>
      </c>
      <c r="BF4" s="5" t="s">
        <v>45</v>
      </c>
      <c r="BG4" s="5" t="s">
        <v>46</v>
      </c>
      <c r="BH4" s="5" t="s">
        <v>47</v>
      </c>
      <c r="BI4" s="5" t="s">
        <v>48</v>
      </c>
      <c r="BJ4" s="5" t="s">
        <v>49</v>
      </c>
      <c r="BK4" s="5" t="s">
        <v>49</v>
      </c>
      <c r="BL4" s="5" t="s">
        <v>50</v>
      </c>
      <c r="BM4" s="5" t="s">
        <v>51</v>
      </c>
      <c r="BN4" s="5" t="s">
        <v>52</v>
      </c>
      <c r="BO4" s="5" t="s">
        <v>53</v>
      </c>
      <c r="BP4" s="5" t="s">
        <v>54</v>
      </c>
      <c r="BQ4" s="3" t="s">
        <v>55</v>
      </c>
      <c r="BR4" s="3" t="s">
        <v>56</v>
      </c>
      <c r="BS4" s="3" t="s">
        <v>57</v>
      </c>
      <c r="BT4" s="3" t="s">
        <v>58</v>
      </c>
      <c r="BU4" s="3" t="s">
        <v>59</v>
      </c>
      <c r="BV4" s="4" t="s">
        <v>60</v>
      </c>
    </row>
    <row r="5" spans="1:74" ht="15.75" customHeight="1">
      <c r="B5" s="4"/>
      <c r="C5" s="4" t="s">
        <v>61</v>
      </c>
      <c r="D5" s="3">
        <v>70</v>
      </c>
      <c r="E5" s="3"/>
      <c r="F5" s="3"/>
      <c r="G5" s="3">
        <v>405</v>
      </c>
      <c r="H5" s="3">
        <v>8</v>
      </c>
      <c r="I5" s="3">
        <v>70</v>
      </c>
      <c r="J5" s="4"/>
      <c r="K5" s="4"/>
      <c r="L5" s="3">
        <v>70</v>
      </c>
      <c r="M5" s="4"/>
      <c r="N5" s="3"/>
      <c r="O5" s="4"/>
      <c r="P5" s="4"/>
      <c r="Q5" s="4"/>
      <c r="R5" s="3">
        <v>7.8</v>
      </c>
      <c r="S5" s="3">
        <v>7.8</v>
      </c>
      <c r="T5" s="3">
        <v>32</v>
      </c>
      <c r="U5" s="3">
        <v>8</v>
      </c>
      <c r="V5" s="4"/>
      <c r="W5" s="3"/>
      <c r="X5" s="4"/>
      <c r="Y5" s="4"/>
      <c r="Z5" s="4"/>
      <c r="AA5" s="3">
        <v>2.1</v>
      </c>
      <c r="AB5" s="3">
        <v>1.5</v>
      </c>
      <c r="AC5" s="4"/>
      <c r="AD5" s="4"/>
      <c r="AE5" s="3">
        <v>22</v>
      </c>
      <c r="AF5" s="3">
        <v>32</v>
      </c>
      <c r="AG5" s="3">
        <v>14</v>
      </c>
      <c r="AH5" s="3">
        <v>27</v>
      </c>
      <c r="AI5" s="3">
        <v>12</v>
      </c>
      <c r="AJ5" s="3">
        <v>4</v>
      </c>
      <c r="AK5" s="3">
        <v>1</v>
      </c>
      <c r="AL5" s="5">
        <v>111</v>
      </c>
      <c r="AM5" s="5">
        <v>21</v>
      </c>
      <c r="AN5" s="5"/>
      <c r="AO5" s="5"/>
      <c r="AP5" s="5">
        <v>685</v>
      </c>
      <c r="AQ5" s="5"/>
      <c r="AR5" s="5">
        <v>109</v>
      </c>
      <c r="AS5" s="5">
        <v>400</v>
      </c>
      <c r="AT5" s="5"/>
      <c r="AU5" s="5">
        <v>8</v>
      </c>
      <c r="AV5" s="5">
        <v>14</v>
      </c>
      <c r="AW5" s="5">
        <v>1.5</v>
      </c>
      <c r="AX5" s="5"/>
      <c r="AY5" s="5">
        <v>1.5</v>
      </c>
      <c r="AZ5" s="5">
        <v>2.4</v>
      </c>
      <c r="BA5" s="5">
        <v>7.8</v>
      </c>
      <c r="BB5" s="5"/>
      <c r="BC5" s="5"/>
      <c r="BD5" s="5"/>
      <c r="BE5" s="5"/>
      <c r="BF5" s="5"/>
      <c r="BG5" s="5"/>
      <c r="BH5" s="5">
        <v>12</v>
      </c>
      <c r="BI5" s="5"/>
      <c r="BJ5" s="5">
        <v>2</v>
      </c>
      <c r="BK5" s="5">
        <v>2</v>
      </c>
      <c r="BL5" s="5">
        <v>1.5</v>
      </c>
      <c r="BM5" s="5">
        <v>1.5</v>
      </c>
      <c r="BN5" s="5"/>
      <c r="BO5" s="5"/>
      <c r="BP5" s="5">
        <v>14</v>
      </c>
      <c r="BQ5" s="5">
        <v>235</v>
      </c>
      <c r="BR5" s="5">
        <v>30</v>
      </c>
      <c r="BS5" s="5">
        <v>32</v>
      </c>
      <c r="BT5" s="5">
        <v>14</v>
      </c>
      <c r="BU5" s="5">
        <v>8</v>
      </c>
      <c r="BV5" s="4"/>
    </row>
    <row r="6" spans="1:74" ht="15.75" customHeight="1">
      <c r="B6" s="4"/>
      <c r="C6" s="4" t="s">
        <v>62</v>
      </c>
      <c r="D6" s="3" t="s">
        <v>63</v>
      </c>
      <c r="E6" s="3"/>
      <c r="F6" s="3"/>
      <c r="G6" s="3"/>
      <c r="H6" s="3" t="s">
        <v>64</v>
      </c>
      <c r="I6" s="3" t="s">
        <v>65</v>
      </c>
      <c r="J6" s="3"/>
      <c r="K6" s="3"/>
      <c r="L6" s="3" t="s">
        <v>66</v>
      </c>
      <c r="M6" s="3"/>
      <c r="N6" s="3" t="s">
        <v>67</v>
      </c>
      <c r="O6" s="3"/>
      <c r="P6" s="3"/>
      <c r="Q6" s="3"/>
      <c r="R6" s="3" t="s">
        <v>68</v>
      </c>
      <c r="S6" s="3" t="s">
        <v>69</v>
      </c>
      <c r="T6" s="3"/>
      <c r="U6" s="3"/>
      <c r="V6" s="3" t="s">
        <v>70</v>
      </c>
      <c r="W6" s="3" t="s">
        <v>71</v>
      </c>
      <c r="X6" s="4"/>
      <c r="Y6" s="4"/>
      <c r="Z6" s="4"/>
      <c r="AA6" s="3" t="s">
        <v>69</v>
      </c>
      <c r="AB6" s="3" t="s">
        <v>69</v>
      </c>
      <c r="AC6" s="4"/>
      <c r="AD6" s="4"/>
      <c r="AE6" s="4"/>
      <c r="AF6" s="4"/>
      <c r="AG6" s="3" t="s">
        <v>72</v>
      </c>
      <c r="AH6" s="3" t="s">
        <v>73</v>
      </c>
      <c r="AI6" s="3" t="s">
        <v>69</v>
      </c>
      <c r="AJ6" s="3" t="s">
        <v>69</v>
      </c>
      <c r="AK6" s="3" t="s">
        <v>69</v>
      </c>
      <c r="AL6" s="5"/>
      <c r="AM6" s="5"/>
      <c r="AN6" s="5"/>
      <c r="AO6" s="5"/>
      <c r="AP6" s="5" t="s">
        <v>74</v>
      </c>
      <c r="AQ6" s="5"/>
      <c r="AR6" s="5" t="s">
        <v>75</v>
      </c>
      <c r="AS6" s="5" t="s">
        <v>74</v>
      </c>
      <c r="AT6" s="5" t="s">
        <v>74</v>
      </c>
      <c r="AU6" s="5" t="s">
        <v>76</v>
      </c>
      <c r="AV6" s="5" t="s">
        <v>76</v>
      </c>
      <c r="AW6" s="5" t="s">
        <v>77</v>
      </c>
      <c r="AX6" s="5" t="s">
        <v>74</v>
      </c>
      <c r="AY6" s="5" t="s">
        <v>77</v>
      </c>
      <c r="AZ6" s="5" t="s">
        <v>76</v>
      </c>
      <c r="BA6" s="5" t="s">
        <v>76</v>
      </c>
      <c r="BB6" s="5" t="s">
        <v>78</v>
      </c>
      <c r="BC6" s="5" t="s">
        <v>78</v>
      </c>
      <c r="BD6" s="5"/>
      <c r="BE6" s="5"/>
      <c r="BF6" s="5"/>
      <c r="BG6" s="5"/>
      <c r="BH6" s="5" t="s">
        <v>69</v>
      </c>
      <c r="BI6" s="5" t="s">
        <v>79</v>
      </c>
      <c r="BJ6" s="5" t="s">
        <v>80</v>
      </c>
      <c r="BK6" s="5" t="s">
        <v>81</v>
      </c>
      <c r="BL6" s="5" t="s">
        <v>82</v>
      </c>
      <c r="BM6" s="5" t="s">
        <v>69</v>
      </c>
      <c r="BN6" s="5"/>
      <c r="BO6" s="5"/>
      <c r="BP6" s="5" t="s">
        <v>74</v>
      </c>
      <c r="BQ6" s="5"/>
      <c r="BR6" s="5"/>
      <c r="BS6" s="5" t="s">
        <v>74</v>
      </c>
      <c r="BT6" s="5" t="s">
        <v>74</v>
      </c>
      <c r="BU6" s="5" t="s">
        <v>74</v>
      </c>
      <c r="BV6" s="4"/>
    </row>
    <row r="7" spans="1:74" ht="15.75" customHeight="1">
      <c r="B7" s="4"/>
      <c r="C7" s="4" t="s">
        <v>83</v>
      </c>
      <c r="D7" s="3" t="s">
        <v>84</v>
      </c>
      <c r="E7" s="3"/>
      <c r="F7" s="3" t="s">
        <v>84</v>
      </c>
      <c r="G7" s="3"/>
      <c r="H7" s="3" t="s">
        <v>84</v>
      </c>
      <c r="I7" s="3" t="s">
        <v>84</v>
      </c>
      <c r="J7" s="3" t="s">
        <v>84</v>
      </c>
      <c r="K7" s="4"/>
      <c r="L7" s="4"/>
      <c r="M7" s="4"/>
      <c r="N7" s="4"/>
      <c r="O7" s="4"/>
      <c r="P7" s="3" t="s">
        <v>84</v>
      </c>
      <c r="Q7" s="4"/>
      <c r="R7" s="4"/>
      <c r="S7" s="4"/>
      <c r="T7" s="4"/>
      <c r="U7" s="4"/>
      <c r="V7" s="4"/>
      <c r="W7" s="3" t="s">
        <v>84</v>
      </c>
      <c r="X7" s="4"/>
      <c r="Y7" s="3" t="s">
        <v>84</v>
      </c>
      <c r="Z7" s="3" t="s">
        <v>84</v>
      </c>
      <c r="AA7" s="3"/>
      <c r="AB7" s="3" t="s">
        <v>84</v>
      </c>
      <c r="AC7" s="4"/>
      <c r="AD7" s="4"/>
      <c r="AE7" s="4"/>
      <c r="AF7" s="3" t="s">
        <v>84</v>
      </c>
      <c r="AG7" s="4"/>
      <c r="AH7" s="4"/>
      <c r="AI7" s="4"/>
      <c r="AJ7" s="4"/>
      <c r="AK7" s="4"/>
      <c r="AL7" s="6"/>
      <c r="AM7" s="5" t="s">
        <v>84</v>
      </c>
      <c r="AN7" s="5" t="s">
        <v>84</v>
      </c>
      <c r="AO7" s="5" t="s">
        <v>84</v>
      </c>
      <c r="AP7" s="5"/>
      <c r="AQ7" s="5" t="s">
        <v>84</v>
      </c>
      <c r="AR7" s="5"/>
      <c r="AS7" s="5"/>
      <c r="AT7" s="5"/>
      <c r="AU7" s="5"/>
      <c r="AV7" s="5"/>
      <c r="AW7" s="5" t="s">
        <v>84</v>
      </c>
      <c r="AX7" s="5"/>
      <c r="AY7" s="5" t="s">
        <v>84</v>
      </c>
      <c r="AZ7" s="5" t="s">
        <v>84</v>
      </c>
      <c r="BA7" s="5" t="s">
        <v>84</v>
      </c>
      <c r="BB7" s="5"/>
      <c r="BC7" s="5"/>
      <c r="BD7" s="5" t="s">
        <v>84</v>
      </c>
      <c r="BE7" s="5" t="s">
        <v>84</v>
      </c>
      <c r="BF7" s="5" t="s">
        <v>84</v>
      </c>
      <c r="BG7" s="5" t="s">
        <v>84</v>
      </c>
      <c r="BH7" s="5"/>
      <c r="BI7" s="5" t="s">
        <v>84</v>
      </c>
      <c r="BJ7" s="5"/>
      <c r="BK7" s="5"/>
      <c r="BL7" s="5"/>
      <c r="BM7" s="5"/>
      <c r="BN7" s="5" t="s">
        <v>84</v>
      </c>
      <c r="BO7" s="5"/>
      <c r="BP7" s="5" t="s">
        <v>84</v>
      </c>
      <c r="BQ7" s="5" t="s">
        <v>84</v>
      </c>
      <c r="BR7" s="5" t="s">
        <v>84</v>
      </c>
      <c r="BS7" s="5" t="s">
        <v>84</v>
      </c>
      <c r="BT7" s="5" t="s">
        <v>84</v>
      </c>
      <c r="BU7" s="5" t="s">
        <v>84</v>
      </c>
      <c r="BV7" s="4"/>
    </row>
    <row r="8" spans="1:74" ht="15.75" customHeight="1">
      <c r="B8" s="4"/>
      <c r="C8" s="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 t="s">
        <v>85</v>
      </c>
      <c r="BO8" s="5" t="s">
        <v>85</v>
      </c>
      <c r="BP8" s="5" t="s">
        <v>86</v>
      </c>
      <c r="BQ8" s="5" t="s">
        <v>87</v>
      </c>
      <c r="BR8" s="5" t="s">
        <v>87</v>
      </c>
      <c r="BS8" s="5" t="s">
        <v>88</v>
      </c>
      <c r="BT8" s="5" t="s">
        <v>88</v>
      </c>
      <c r="BU8" s="5" t="s">
        <v>88</v>
      </c>
      <c r="BV8" s="7"/>
    </row>
    <row r="9" spans="1:74" ht="15.75" customHeight="1">
      <c r="B9" s="4">
        <v>1</v>
      </c>
      <c r="C9" s="4" t="s">
        <v>89</v>
      </c>
      <c r="D9" s="3">
        <v>1</v>
      </c>
      <c r="E9" s="3">
        <v>1</v>
      </c>
      <c r="F9" s="3">
        <v>1</v>
      </c>
      <c r="G9" s="3">
        <v>1</v>
      </c>
      <c r="H9" s="3">
        <v>0</v>
      </c>
      <c r="I9" s="3">
        <v>1</v>
      </c>
      <c r="J9" s="3">
        <v>0</v>
      </c>
      <c r="K9" s="3">
        <v>1</v>
      </c>
      <c r="L9" s="3">
        <v>0</v>
      </c>
      <c r="M9" s="3">
        <v>0</v>
      </c>
      <c r="N9" s="3">
        <v>1</v>
      </c>
      <c r="O9" s="3">
        <v>1</v>
      </c>
      <c r="P9" s="3">
        <v>1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0</v>
      </c>
      <c r="AB9" s="3">
        <v>0</v>
      </c>
      <c r="AC9" s="3">
        <v>1</v>
      </c>
      <c r="AD9" s="3">
        <v>0</v>
      </c>
      <c r="AE9" s="3">
        <v>0</v>
      </c>
      <c r="AF9" s="3">
        <v>1</v>
      </c>
      <c r="AG9" s="3">
        <v>1</v>
      </c>
      <c r="AH9" s="3">
        <v>1</v>
      </c>
      <c r="AI9" s="3">
        <v>0</v>
      </c>
      <c r="AJ9" s="3">
        <v>0</v>
      </c>
      <c r="AK9" s="3">
        <v>0</v>
      </c>
      <c r="AL9" s="5">
        <v>0</v>
      </c>
      <c r="AM9" s="5">
        <v>0</v>
      </c>
      <c r="AN9" s="5">
        <v>1</v>
      </c>
      <c r="AO9" s="5">
        <v>0</v>
      </c>
      <c r="AP9" s="5">
        <v>1</v>
      </c>
      <c r="AQ9" s="5">
        <v>1</v>
      </c>
      <c r="AR9" s="5">
        <v>0</v>
      </c>
      <c r="AS9" s="5">
        <v>1</v>
      </c>
      <c r="AT9" s="5">
        <v>1</v>
      </c>
      <c r="AU9" s="5">
        <v>0</v>
      </c>
      <c r="AV9" s="5">
        <v>1</v>
      </c>
      <c r="AW9" s="5">
        <v>0</v>
      </c>
      <c r="AX9" s="5">
        <v>1</v>
      </c>
      <c r="AY9" s="5">
        <v>0</v>
      </c>
      <c r="AZ9" s="5">
        <v>0</v>
      </c>
      <c r="BA9" s="5">
        <v>0</v>
      </c>
      <c r="BB9" s="5">
        <v>1</v>
      </c>
      <c r="BC9" s="5">
        <v>1</v>
      </c>
      <c r="BD9" s="5">
        <v>1</v>
      </c>
      <c r="BE9" s="5">
        <v>1</v>
      </c>
      <c r="BF9" s="5">
        <v>1</v>
      </c>
      <c r="BG9" s="5">
        <v>1</v>
      </c>
      <c r="BH9" s="5">
        <v>0</v>
      </c>
      <c r="BI9" s="5">
        <v>1</v>
      </c>
      <c r="BJ9" s="5">
        <v>0</v>
      </c>
      <c r="BK9" s="5">
        <v>0</v>
      </c>
      <c r="BL9" s="5">
        <v>0</v>
      </c>
      <c r="BM9" s="5">
        <v>0</v>
      </c>
      <c r="BN9" s="5">
        <v>1</v>
      </c>
      <c r="BO9" s="5">
        <v>0</v>
      </c>
      <c r="BP9" s="5">
        <v>0</v>
      </c>
      <c r="BQ9" s="3">
        <v>1</v>
      </c>
      <c r="BR9" s="3">
        <v>1</v>
      </c>
      <c r="BS9" s="3">
        <v>1</v>
      </c>
      <c r="BT9" s="3">
        <v>1</v>
      </c>
      <c r="BU9" s="3">
        <v>0</v>
      </c>
      <c r="BV9" s="7">
        <f ca="1">IFERROR(__xludf.DUMMYFUNCTION("AVERAGE(FILTER(D9:BR9, D9:BR9 &lt;&gt; """"))"),0.522388059701492)</f>
        <v>0.52238805970149205</v>
      </c>
    </row>
    <row r="10" spans="1:74" ht="15.75" customHeight="1">
      <c r="B10" s="4">
        <v>2</v>
      </c>
      <c r="C10" s="4" t="s">
        <v>90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1</v>
      </c>
      <c r="AA10" s="3">
        <v>1</v>
      </c>
      <c r="AB10" s="3">
        <v>1</v>
      </c>
      <c r="AC10" s="3">
        <v>1</v>
      </c>
      <c r="AD10" s="3">
        <v>1</v>
      </c>
      <c r="AE10" s="3">
        <v>1</v>
      </c>
      <c r="AF10" s="3">
        <v>1</v>
      </c>
      <c r="AG10" s="3">
        <v>1</v>
      </c>
      <c r="AH10" s="3">
        <v>1</v>
      </c>
      <c r="AI10" s="3">
        <v>1</v>
      </c>
      <c r="AJ10" s="3">
        <v>1</v>
      </c>
      <c r="AK10" s="3">
        <v>0</v>
      </c>
      <c r="AL10" s="5">
        <v>1</v>
      </c>
      <c r="AM10" s="5">
        <v>1</v>
      </c>
      <c r="AN10" s="5">
        <v>1</v>
      </c>
      <c r="AO10" s="5">
        <v>1</v>
      </c>
      <c r="AP10" s="5">
        <v>1</v>
      </c>
      <c r="AQ10" s="5">
        <v>1</v>
      </c>
      <c r="AR10" s="5">
        <v>1</v>
      </c>
      <c r="AS10" s="5">
        <v>1</v>
      </c>
      <c r="AT10" s="5">
        <v>1</v>
      </c>
      <c r="AU10" s="5">
        <v>1</v>
      </c>
      <c r="AV10" s="5">
        <v>1</v>
      </c>
      <c r="AW10" s="5">
        <v>1</v>
      </c>
      <c r="AX10" s="5">
        <v>1</v>
      </c>
      <c r="AY10" s="5">
        <v>1</v>
      </c>
      <c r="AZ10" s="5">
        <v>1</v>
      </c>
      <c r="BA10" s="5">
        <v>1</v>
      </c>
      <c r="BB10" s="5">
        <v>1</v>
      </c>
      <c r="BC10" s="5">
        <v>1</v>
      </c>
      <c r="BD10" s="5">
        <v>1</v>
      </c>
      <c r="BE10" s="5">
        <v>1</v>
      </c>
      <c r="BF10" s="5">
        <v>1</v>
      </c>
      <c r="BG10" s="5">
        <v>1</v>
      </c>
      <c r="BH10" s="5">
        <v>1</v>
      </c>
      <c r="BI10" s="5">
        <v>1</v>
      </c>
      <c r="BJ10" s="5">
        <v>0</v>
      </c>
      <c r="BK10" s="5">
        <v>1</v>
      </c>
      <c r="BL10" s="5">
        <v>1</v>
      </c>
      <c r="BM10" s="5">
        <v>1</v>
      </c>
      <c r="BN10" s="5">
        <v>1</v>
      </c>
      <c r="BO10" s="5">
        <v>1</v>
      </c>
      <c r="BP10" s="5">
        <v>1</v>
      </c>
      <c r="BQ10" s="3">
        <v>1</v>
      </c>
      <c r="BR10" s="3">
        <v>1</v>
      </c>
      <c r="BS10" s="3">
        <v>1</v>
      </c>
      <c r="BT10" s="3">
        <v>1</v>
      </c>
      <c r="BU10" s="3">
        <v>1</v>
      </c>
      <c r="BV10" s="7">
        <f ca="1">IFERROR(__xludf.DUMMYFUNCTION("AVERAGE(FILTER(D10:BR10, D10:BR10 &lt;&gt; """"))"),0.970149253731343)</f>
        <v>0.97014925373134298</v>
      </c>
    </row>
    <row r="11" spans="1:74" ht="15.75" customHeight="1">
      <c r="B11" s="4">
        <v>3</v>
      </c>
      <c r="C11" s="4" t="s">
        <v>91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0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  <c r="AG11" s="3">
        <v>1</v>
      </c>
      <c r="AH11" s="3">
        <v>1</v>
      </c>
      <c r="AI11" s="3">
        <v>1</v>
      </c>
      <c r="AJ11" s="3">
        <v>0</v>
      </c>
      <c r="AK11" s="3">
        <v>0</v>
      </c>
      <c r="AL11" s="5">
        <v>1</v>
      </c>
      <c r="AM11" s="5">
        <v>1</v>
      </c>
      <c r="AN11" s="5">
        <v>1</v>
      </c>
      <c r="AO11" s="5">
        <v>1</v>
      </c>
      <c r="AP11" s="5">
        <v>1</v>
      </c>
      <c r="AQ11" s="5">
        <v>1</v>
      </c>
      <c r="AR11" s="5">
        <v>1</v>
      </c>
      <c r="AS11" s="5">
        <v>1</v>
      </c>
      <c r="AT11" s="5">
        <v>1</v>
      </c>
      <c r="AU11" s="5">
        <v>1</v>
      </c>
      <c r="AV11" s="5">
        <v>1</v>
      </c>
      <c r="AW11" s="5">
        <v>1</v>
      </c>
      <c r="AX11" s="5">
        <v>1</v>
      </c>
      <c r="AY11" s="5">
        <v>1</v>
      </c>
      <c r="AZ11" s="5">
        <v>1</v>
      </c>
      <c r="BA11" s="5">
        <v>1</v>
      </c>
      <c r="BB11" s="5">
        <v>1</v>
      </c>
      <c r="BC11" s="5">
        <v>1</v>
      </c>
      <c r="BD11" s="5">
        <v>1</v>
      </c>
      <c r="BE11" s="5">
        <v>1</v>
      </c>
      <c r="BF11" s="5">
        <v>1</v>
      </c>
      <c r="BG11" s="5">
        <v>1</v>
      </c>
      <c r="BH11" s="5">
        <v>1</v>
      </c>
      <c r="BI11" s="5">
        <v>1</v>
      </c>
      <c r="BJ11" s="5">
        <v>1</v>
      </c>
      <c r="BK11" s="5">
        <v>1</v>
      </c>
      <c r="BL11" s="5">
        <v>1</v>
      </c>
      <c r="BM11" s="5">
        <v>1</v>
      </c>
      <c r="BN11" s="5">
        <v>1</v>
      </c>
      <c r="BO11" s="5">
        <v>1</v>
      </c>
      <c r="BP11" s="5">
        <v>1</v>
      </c>
      <c r="BQ11" s="3">
        <v>1</v>
      </c>
      <c r="BR11" s="3">
        <v>1</v>
      </c>
      <c r="BS11" s="3">
        <v>1</v>
      </c>
      <c r="BT11" s="3">
        <v>1</v>
      </c>
      <c r="BU11" s="3">
        <v>1</v>
      </c>
      <c r="BV11" s="7">
        <f ca="1">IFERROR(__xludf.DUMMYFUNCTION("AVERAGE(FILTER(D11:BR11, D11:BR11 &lt;&gt; """"))"),0.955223880597014)</f>
        <v>0.95522388059701402</v>
      </c>
    </row>
    <row r="12" spans="1:74" ht="15.75" customHeight="1">
      <c r="B12" s="4">
        <v>4</v>
      </c>
      <c r="C12" s="4" t="s">
        <v>92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0</v>
      </c>
      <c r="N12" s="3">
        <v>1</v>
      </c>
      <c r="O12" s="3">
        <v>1</v>
      </c>
      <c r="P12" s="3">
        <v>1</v>
      </c>
      <c r="Q12" s="3">
        <v>0</v>
      </c>
      <c r="R12" s="3">
        <v>0</v>
      </c>
      <c r="S12" s="3">
        <v>1</v>
      </c>
      <c r="T12" s="3">
        <v>0</v>
      </c>
      <c r="U12" s="3">
        <v>0</v>
      </c>
      <c r="V12" s="3">
        <v>1</v>
      </c>
      <c r="W12" s="3">
        <v>1</v>
      </c>
      <c r="X12" s="3">
        <v>1</v>
      </c>
      <c r="Y12" s="3">
        <v>1</v>
      </c>
      <c r="Z12" s="3">
        <v>1</v>
      </c>
      <c r="AA12" s="3">
        <v>0</v>
      </c>
      <c r="AB12" s="3">
        <v>0</v>
      </c>
      <c r="AC12" s="3">
        <v>1</v>
      </c>
      <c r="AD12" s="3">
        <v>0</v>
      </c>
      <c r="AE12" s="3">
        <v>0</v>
      </c>
      <c r="AF12" s="3">
        <v>1</v>
      </c>
      <c r="AG12" s="3">
        <v>0</v>
      </c>
      <c r="AH12" s="3">
        <v>1</v>
      </c>
      <c r="AI12" s="3">
        <v>0</v>
      </c>
      <c r="AJ12" s="3">
        <v>0</v>
      </c>
      <c r="AK12" s="3">
        <v>0</v>
      </c>
      <c r="AL12" s="5">
        <v>1</v>
      </c>
      <c r="AM12" s="5">
        <v>1</v>
      </c>
      <c r="AN12" s="5">
        <v>1</v>
      </c>
      <c r="AO12" s="5">
        <v>1</v>
      </c>
      <c r="AP12" s="5">
        <v>1</v>
      </c>
      <c r="AQ12" s="5">
        <v>1</v>
      </c>
      <c r="AR12" s="5">
        <v>1</v>
      </c>
      <c r="AS12" s="5">
        <v>1</v>
      </c>
      <c r="AT12" s="5">
        <v>0</v>
      </c>
      <c r="AU12" s="5">
        <v>1</v>
      </c>
      <c r="AV12" s="5">
        <v>1</v>
      </c>
      <c r="AW12" s="5">
        <v>1</v>
      </c>
      <c r="AX12" s="5">
        <v>0</v>
      </c>
      <c r="AY12" s="5">
        <v>1</v>
      </c>
      <c r="AZ12" s="5">
        <v>0</v>
      </c>
      <c r="BA12" s="5">
        <v>1</v>
      </c>
      <c r="BB12" s="5">
        <v>0</v>
      </c>
      <c r="BC12" s="5">
        <v>1</v>
      </c>
      <c r="BD12" s="5">
        <v>1</v>
      </c>
      <c r="BE12" s="5">
        <v>1</v>
      </c>
      <c r="BF12" s="5">
        <v>1</v>
      </c>
      <c r="BG12" s="5">
        <v>1</v>
      </c>
      <c r="BH12" s="5">
        <v>1</v>
      </c>
      <c r="BI12" s="5">
        <v>1</v>
      </c>
      <c r="BJ12" s="5">
        <v>0</v>
      </c>
      <c r="BK12" s="5">
        <v>1</v>
      </c>
      <c r="BL12" s="5">
        <v>0</v>
      </c>
      <c r="BM12" s="5">
        <v>0</v>
      </c>
      <c r="BN12" s="5">
        <v>1</v>
      </c>
      <c r="BO12" s="5">
        <v>0</v>
      </c>
      <c r="BP12" s="5">
        <v>0</v>
      </c>
      <c r="BQ12" s="3">
        <v>1</v>
      </c>
      <c r="BR12" s="3">
        <v>1</v>
      </c>
      <c r="BS12" s="3">
        <v>1</v>
      </c>
      <c r="BT12" s="3">
        <v>1</v>
      </c>
      <c r="BU12" s="3">
        <v>1</v>
      </c>
      <c r="BV12" s="7">
        <f ca="1">IFERROR(__xludf.DUMMYFUNCTION("AVERAGE(FILTER(D12:BR12, D12:BR12 &lt;&gt; """"))"),0.671641791044776)</f>
        <v>0.67164179104477595</v>
      </c>
    </row>
    <row r="13" spans="1:74" ht="15.75" customHeight="1">
      <c r="B13" s="4">
        <v>5</v>
      </c>
      <c r="C13" s="4" t="s">
        <v>93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0</v>
      </c>
      <c r="T13" s="3">
        <v>1</v>
      </c>
      <c r="U13" s="3">
        <v>0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0</v>
      </c>
      <c r="AB13" s="3">
        <v>1</v>
      </c>
      <c r="AC13" s="3">
        <v>1</v>
      </c>
      <c r="AD13" s="3">
        <v>1</v>
      </c>
      <c r="AE13" s="3">
        <v>0</v>
      </c>
      <c r="AF13" s="3">
        <v>1</v>
      </c>
      <c r="AG13" s="3">
        <v>0</v>
      </c>
      <c r="AH13" s="3">
        <v>1</v>
      </c>
      <c r="AI13" s="3">
        <v>1</v>
      </c>
      <c r="AJ13" s="3">
        <v>1</v>
      </c>
      <c r="AK13" s="3">
        <v>0</v>
      </c>
      <c r="AL13" s="5">
        <v>0</v>
      </c>
      <c r="AM13" s="5">
        <v>1</v>
      </c>
      <c r="AN13" s="5">
        <v>1</v>
      </c>
      <c r="AO13" s="5">
        <v>1</v>
      </c>
      <c r="AP13" s="5">
        <v>1</v>
      </c>
      <c r="AQ13" s="5">
        <v>1</v>
      </c>
      <c r="AR13" s="5">
        <v>1</v>
      </c>
      <c r="AS13" s="5">
        <v>1</v>
      </c>
      <c r="AT13" s="5">
        <v>1</v>
      </c>
      <c r="AU13" s="5">
        <v>0</v>
      </c>
      <c r="AV13" s="5">
        <v>0</v>
      </c>
      <c r="AW13" s="5">
        <v>1</v>
      </c>
      <c r="AX13" s="5">
        <v>1</v>
      </c>
      <c r="AY13" s="5">
        <v>0</v>
      </c>
      <c r="AZ13" s="5">
        <v>0</v>
      </c>
      <c r="BA13" s="5">
        <v>0</v>
      </c>
      <c r="BB13" s="5">
        <v>1</v>
      </c>
      <c r="BC13" s="5">
        <v>0</v>
      </c>
      <c r="BD13" s="5">
        <v>1</v>
      </c>
      <c r="BE13" s="5">
        <v>1</v>
      </c>
      <c r="BF13" s="5">
        <v>1</v>
      </c>
      <c r="BG13" s="5">
        <v>1</v>
      </c>
      <c r="BH13" s="5">
        <v>1</v>
      </c>
      <c r="BI13" s="5">
        <v>1</v>
      </c>
      <c r="BJ13" s="5">
        <v>0</v>
      </c>
      <c r="BK13" s="5">
        <v>1</v>
      </c>
      <c r="BL13" s="5">
        <v>0</v>
      </c>
      <c r="BM13" s="5">
        <v>0</v>
      </c>
      <c r="BN13" s="5">
        <v>1</v>
      </c>
      <c r="BO13" s="5">
        <v>1</v>
      </c>
      <c r="BP13" s="5">
        <v>1</v>
      </c>
      <c r="BQ13" s="3">
        <v>1</v>
      </c>
      <c r="BR13" s="3">
        <v>1</v>
      </c>
      <c r="BS13" s="3">
        <v>1</v>
      </c>
      <c r="BT13" s="3">
        <v>1</v>
      </c>
      <c r="BU13" s="3">
        <v>1</v>
      </c>
      <c r="BV13" s="7">
        <f ca="1">IFERROR(__xludf.DUMMYFUNCTION("AVERAGE(FILTER(D13:BR13, D13:BR13 &lt;&gt; """"))"),0.761194029850746)</f>
        <v>0.76119402985074602</v>
      </c>
    </row>
    <row r="14" spans="1:74" ht="15.75" customHeight="1">
      <c r="B14" s="4">
        <v>6</v>
      </c>
      <c r="C14" s="4" t="s">
        <v>94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0</v>
      </c>
      <c r="O14" s="3">
        <v>1</v>
      </c>
      <c r="P14" s="3">
        <v>1</v>
      </c>
      <c r="Q14" s="3">
        <v>0</v>
      </c>
      <c r="R14" s="3">
        <v>1</v>
      </c>
      <c r="S14" s="3">
        <v>0</v>
      </c>
      <c r="T14" s="3">
        <v>0</v>
      </c>
      <c r="U14" s="3">
        <v>0</v>
      </c>
      <c r="V14" s="3">
        <v>0</v>
      </c>
      <c r="W14" s="3">
        <v>1</v>
      </c>
      <c r="X14" s="3">
        <v>1</v>
      </c>
      <c r="Y14" s="3">
        <v>1</v>
      </c>
      <c r="Z14" s="3">
        <v>1</v>
      </c>
      <c r="AA14" s="3">
        <v>0</v>
      </c>
      <c r="AB14" s="3">
        <v>1</v>
      </c>
      <c r="AC14" s="3">
        <v>1</v>
      </c>
      <c r="AD14" s="3">
        <v>1</v>
      </c>
      <c r="AE14" s="3">
        <v>1</v>
      </c>
      <c r="AF14" s="3">
        <v>1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5">
        <v>1</v>
      </c>
      <c r="AM14" s="5">
        <v>0</v>
      </c>
      <c r="AN14" s="5">
        <v>1</v>
      </c>
      <c r="AO14" s="5">
        <v>1</v>
      </c>
      <c r="AP14" s="5">
        <v>1</v>
      </c>
      <c r="AQ14" s="5">
        <v>1</v>
      </c>
      <c r="AR14" s="5">
        <v>1</v>
      </c>
      <c r="AS14" s="5">
        <v>1</v>
      </c>
      <c r="AT14" s="5">
        <v>1</v>
      </c>
      <c r="AU14" s="5">
        <v>0</v>
      </c>
      <c r="AV14" s="5">
        <v>0</v>
      </c>
      <c r="AW14" s="5">
        <v>1</v>
      </c>
      <c r="AX14" s="5">
        <v>1</v>
      </c>
      <c r="AY14" s="5">
        <v>1</v>
      </c>
      <c r="AZ14" s="5">
        <v>0</v>
      </c>
      <c r="BA14" s="5">
        <v>0</v>
      </c>
      <c r="BB14" s="5">
        <v>1</v>
      </c>
      <c r="BC14" s="5">
        <v>1</v>
      </c>
      <c r="BD14" s="5">
        <v>1</v>
      </c>
      <c r="BE14" s="5">
        <v>1</v>
      </c>
      <c r="BF14" s="5">
        <v>1</v>
      </c>
      <c r="BG14" s="5">
        <v>1</v>
      </c>
      <c r="BH14" s="5">
        <v>0</v>
      </c>
      <c r="BI14" s="5">
        <v>1</v>
      </c>
      <c r="BJ14" s="5">
        <v>0</v>
      </c>
      <c r="BK14" s="5">
        <v>0</v>
      </c>
      <c r="BL14" s="5">
        <v>0</v>
      </c>
      <c r="BM14" s="5">
        <v>0</v>
      </c>
      <c r="BN14" s="5">
        <v>1</v>
      </c>
      <c r="BO14" s="5">
        <v>1</v>
      </c>
      <c r="BP14" s="5">
        <v>1</v>
      </c>
      <c r="BQ14" s="3">
        <v>1</v>
      </c>
      <c r="BR14" s="3">
        <v>1</v>
      </c>
      <c r="BS14" s="3">
        <v>1</v>
      </c>
      <c r="BT14" s="3">
        <v>1</v>
      </c>
      <c r="BU14" s="3">
        <v>1</v>
      </c>
      <c r="BV14" s="7">
        <f ca="1">IFERROR(__xludf.DUMMYFUNCTION("AVERAGE(FILTER(D14:BR14, D14:BR14 &lt;&gt; """"))"),0.671641791044776)</f>
        <v>0.67164179104477595</v>
      </c>
    </row>
    <row r="15" spans="1:74" ht="15.75" customHeight="1">
      <c r="B15" s="4">
        <v>7</v>
      </c>
      <c r="C15" s="4" t="s">
        <v>95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0</v>
      </c>
      <c r="V15" s="3">
        <v>1</v>
      </c>
      <c r="W15" s="3">
        <v>1</v>
      </c>
      <c r="X15" s="3">
        <v>1</v>
      </c>
      <c r="Y15" s="3">
        <v>1</v>
      </c>
      <c r="Z15" s="3">
        <v>1</v>
      </c>
      <c r="AA15" s="3">
        <v>0</v>
      </c>
      <c r="AB15" s="3">
        <v>0</v>
      </c>
      <c r="AC15" s="3">
        <v>1</v>
      </c>
      <c r="AD15" s="3">
        <v>1</v>
      </c>
      <c r="AE15" s="3">
        <v>0</v>
      </c>
      <c r="AF15" s="3">
        <v>1</v>
      </c>
      <c r="AG15" s="3">
        <v>1</v>
      </c>
      <c r="AH15" s="3">
        <v>1</v>
      </c>
      <c r="AI15" s="3">
        <v>1</v>
      </c>
      <c r="AJ15" s="3">
        <v>1</v>
      </c>
      <c r="AK15" s="3">
        <v>0</v>
      </c>
      <c r="AL15" s="5">
        <v>1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1</v>
      </c>
      <c r="AW15" s="5">
        <v>1</v>
      </c>
      <c r="AX15" s="5">
        <v>1</v>
      </c>
      <c r="AY15" s="5">
        <v>1</v>
      </c>
      <c r="AZ15" s="5">
        <v>0</v>
      </c>
      <c r="BA15" s="5">
        <v>1</v>
      </c>
      <c r="BB15" s="5">
        <v>1</v>
      </c>
      <c r="BC15" s="5">
        <v>1</v>
      </c>
      <c r="BD15" s="5">
        <v>1</v>
      </c>
      <c r="BE15" s="5">
        <v>1</v>
      </c>
      <c r="BF15" s="5">
        <v>1</v>
      </c>
      <c r="BG15" s="5">
        <v>1</v>
      </c>
      <c r="BH15" s="5">
        <v>1</v>
      </c>
      <c r="BI15" s="5">
        <v>1</v>
      </c>
      <c r="BJ15" s="5">
        <v>1</v>
      </c>
      <c r="BK15" s="5">
        <v>1</v>
      </c>
      <c r="BL15" s="5">
        <v>0</v>
      </c>
      <c r="BM15" s="5">
        <v>1</v>
      </c>
      <c r="BN15" s="5">
        <v>1</v>
      </c>
      <c r="BO15" s="5">
        <v>1</v>
      </c>
      <c r="BP15" s="5">
        <v>1</v>
      </c>
      <c r="BQ15" s="3">
        <v>1</v>
      </c>
      <c r="BR15" s="3">
        <v>1</v>
      </c>
      <c r="BS15" s="3">
        <v>1</v>
      </c>
      <c r="BT15" s="3">
        <v>1</v>
      </c>
      <c r="BU15" s="3">
        <v>1</v>
      </c>
      <c r="BV15" s="7">
        <f ca="1">IFERROR(__xludf.DUMMYFUNCTION("AVERAGE(FILTER(D15:BR15, D15:BR15 &lt;&gt; """"))"),0.880597014925373)</f>
        <v>0.88059701492537301</v>
      </c>
    </row>
    <row r="16" spans="1:74" ht="15.75" customHeight="1">
      <c r="B16" s="4">
        <v>8</v>
      </c>
      <c r="C16" s="4" t="s">
        <v>96</v>
      </c>
      <c r="D16" s="3">
        <v>0</v>
      </c>
      <c r="E16" s="3">
        <v>0</v>
      </c>
      <c r="F16" s="3">
        <v>1</v>
      </c>
      <c r="G16" s="3">
        <v>0</v>
      </c>
      <c r="H16" s="3">
        <v>0</v>
      </c>
      <c r="I16" s="3">
        <v>1</v>
      </c>
      <c r="J16" s="3">
        <v>1</v>
      </c>
      <c r="K16" s="3">
        <v>1</v>
      </c>
      <c r="L16" s="3">
        <v>0</v>
      </c>
      <c r="M16" s="3">
        <v>0</v>
      </c>
      <c r="N16" s="3">
        <v>1</v>
      </c>
      <c r="O16" s="3">
        <v>0</v>
      </c>
      <c r="P16" s="3">
        <v>1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1</v>
      </c>
      <c r="W16" s="3">
        <v>1</v>
      </c>
      <c r="X16" s="3">
        <v>0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1</v>
      </c>
      <c r="AE16" s="3">
        <v>1</v>
      </c>
      <c r="AF16" s="3">
        <v>1</v>
      </c>
      <c r="AG16" s="3">
        <v>1</v>
      </c>
      <c r="AH16" s="3">
        <v>1</v>
      </c>
      <c r="AI16" s="3">
        <v>0</v>
      </c>
      <c r="AJ16" s="3">
        <v>0</v>
      </c>
      <c r="AK16" s="3">
        <v>0</v>
      </c>
      <c r="AL16" s="5">
        <v>1</v>
      </c>
      <c r="AM16" s="5">
        <v>0</v>
      </c>
      <c r="AN16" s="5">
        <v>1</v>
      </c>
      <c r="AO16" s="5">
        <v>1</v>
      </c>
      <c r="AP16" s="5">
        <v>1</v>
      </c>
      <c r="AQ16" s="5">
        <v>1</v>
      </c>
      <c r="AR16" s="5">
        <v>1</v>
      </c>
      <c r="AS16" s="5">
        <v>0</v>
      </c>
      <c r="AT16" s="5">
        <v>1</v>
      </c>
      <c r="AU16" s="5">
        <v>1</v>
      </c>
      <c r="AV16" s="5">
        <v>0</v>
      </c>
      <c r="AW16" s="5">
        <v>1</v>
      </c>
      <c r="AX16" s="5">
        <v>1</v>
      </c>
      <c r="AY16" s="5">
        <v>1</v>
      </c>
      <c r="AZ16" s="5">
        <v>0</v>
      </c>
      <c r="BA16" s="5">
        <v>1</v>
      </c>
      <c r="BB16" s="5">
        <v>1</v>
      </c>
      <c r="BC16" s="5">
        <v>1</v>
      </c>
      <c r="BD16" s="5">
        <v>1</v>
      </c>
      <c r="BE16" s="5">
        <v>1</v>
      </c>
      <c r="BF16" s="5">
        <v>1</v>
      </c>
      <c r="BG16" s="5">
        <v>1</v>
      </c>
      <c r="BH16" s="5">
        <v>1</v>
      </c>
      <c r="BI16" s="5">
        <v>1</v>
      </c>
      <c r="BJ16" s="5">
        <v>0</v>
      </c>
      <c r="BK16" s="5">
        <v>0</v>
      </c>
      <c r="BL16" s="5">
        <v>0</v>
      </c>
      <c r="BM16" s="5">
        <v>0</v>
      </c>
      <c r="BN16" s="5">
        <v>1</v>
      </c>
      <c r="BO16" s="5">
        <v>1</v>
      </c>
      <c r="BP16" s="5">
        <v>1</v>
      </c>
      <c r="BQ16" s="3">
        <v>1</v>
      </c>
      <c r="BR16" s="3">
        <v>1</v>
      </c>
      <c r="BS16" s="3">
        <v>1</v>
      </c>
      <c r="BT16" s="3">
        <v>1</v>
      </c>
      <c r="BU16" s="3">
        <v>1</v>
      </c>
      <c r="BV16" s="7">
        <f ca="1">IFERROR(__xludf.DUMMYFUNCTION("AVERAGE(FILTER(D16:BR16, D16:BR16 &lt;&gt; """"))"),0.641791044776119)</f>
        <v>0.64179104477611904</v>
      </c>
    </row>
    <row r="17" spans="2:74" ht="15.75" customHeight="1">
      <c r="B17" s="4">
        <v>9</v>
      </c>
      <c r="C17" s="4" t="s">
        <v>97</v>
      </c>
      <c r="D17" s="3"/>
      <c r="E17" s="3">
        <v>1</v>
      </c>
      <c r="F17" s="3">
        <v>1</v>
      </c>
      <c r="G17" s="3">
        <v>0</v>
      </c>
      <c r="H17" s="3">
        <v>1</v>
      </c>
      <c r="I17" s="3">
        <v>1</v>
      </c>
      <c r="J17" s="3">
        <v>1</v>
      </c>
      <c r="K17" s="3">
        <v>0</v>
      </c>
      <c r="L17" s="3">
        <v>0</v>
      </c>
      <c r="M17" s="3">
        <v>0</v>
      </c>
      <c r="N17" s="3">
        <v>1</v>
      </c>
      <c r="O17" s="3">
        <v>1</v>
      </c>
      <c r="P17" s="3">
        <v>1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3">
        <v>0</v>
      </c>
      <c r="AB17" s="3">
        <v>0</v>
      </c>
      <c r="AC17" s="3">
        <v>1</v>
      </c>
      <c r="AD17" s="3">
        <v>0</v>
      </c>
      <c r="AE17" s="3">
        <v>0</v>
      </c>
      <c r="AF17" s="3">
        <v>1</v>
      </c>
      <c r="AG17" s="3">
        <v>1</v>
      </c>
      <c r="AH17" s="3">
        <v>1</v>
      </c>
      <c r="AI17" s="3">
        <v>1</v>
      </c>
      <c r="AJ17" s="3">
        <v>0</v>
      </c>
      <c r="AK17" s="3">
        <v>0</v>
      </c>
      <c r="AL17" s="5">
        <v>0</v>
      </c>
      <c r="AM17" s="5">
        <v>1</v>
      </c>
      <c r="AN17" s="5">
        <v>1</v>
      </c>
      <c r="AO17" s="5">
        <v>1</v>
      </c>
      <c r="AP17" s="5">
        <v>1</v>
      </c>
      <c r="AQ17" s="5">
        <v>1</v>
      </c>
      <c r="AR17" s="5">
        <v>0</v>
      </c>
      <c r="AS17" s="5">
        <v>0</v>
      </c>
      <c r="AT17" s="5">
        <v>1</v>
      </c>
      <c r="AU17" s="5">
        <v>0</v>
      </c>
      <c r="AV17" s="5">
        <v>0</v>
      </c>
      <c r="AW17" s="5">
        <v>1</v>
      </c>
      <c r="AX17" s="5">
        <v>1</v>
      </c>
      <c r="AY17" s="5">
        <v>0</v>
      </c>
      <c r="AZ17" s="5">
        <v>0</v>
      </c>
      <c r="BA17" s="5">
        <v>0</v>
      </c>
      <c r="BB17" s="5">
        <v>1</v>
      </c>
      <c r="BC17" s="5">
        <v>1</v>
      </c>
      <c r="BD17" s="5">
        <v>1</v>
      </c>
      <c r="BE17" s="5">
        <v>1</v>
      </c>
      <c r="BF17" s="5">
        <v>1</v>
      </c>
      <c r="BG17" s="5">
        <v>1</v>
      </c>
      <c r="BH17" s="5">
        <v>0</v>
      </c>
      <c r="BI17" s="5">
        <v>1</v>
      </c>
      <c r="BJ17" s="5">
        <v>0</v>
      </c>
      <c r="BK17" s="5">
        <v>0</v>
      </c>
      <c r="BL17" s="5">
        <v>0</v>
      </c>
      <c r="BM17" s="5">
        <v>0</v>
      </c>
      <c r="BN17" s="5">
        <v>1</v>
      </c>
      <c r="BO17" s="5">
        <v>1</v>
      </c>
      <c r="BP17" s="5">
        <v>1</v>
      </c>
      <c r="BQ17" s="3">
        <v>1</v>
      </c>
      <c r="BR17" s="3">
        <v>1</v>
      </c>
      <c r="BS17" s="3">
        <v>1</v>
      </c>
      <c r="BT17" s="3">
        <v>1</v>
      </c>
      <c r="BU17" s="3">
        <v>1</v>
      </c>
      <c r="BV17" s="7">
        <f ca="1">IFERROR(__xludf.DUMMYFUNCTION("AVERAGE(FILTER(D17:BR17, D17:BR17 &lt;&gt; """"))"),0.575757575757575)</f>
        <v>0.57575757575757502</v>
      </c>
    </row>
    <row r="18" spans="2:74" ht="15.75" customHeight="1">
      <c r="B18" s="4">
        <v>10</v>
      </c>
      <c r="C18" s="4" t="s">
        <v>98</v>
      </c>
      <c r="D18" s="3"/>
      <c r="E18" s="3"/>
      <c r="F18" s="3">
        <v>1</v>
      </c>
      <c r="G18" s="3">
        <v>1</v>
      </c>
      <c r="H18" s="3">
        <v>0</v>
      </c>
      <c r="I18" s="3">
        <v>1</v>
      </c>
      <c r="J18" s="3">
        <v>1</v>
      </c>
      <c r="K18" s="3">
        <v>1</v>
      </c>
      <c r="L18" s="3">
        <v>0</v>
      </c>
      <c r="M18" s="3">
        <v>0</v>
      </c>
      <c r="N18" s="3">
        <v>1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1</v>
      </c>
      <c r="W18" s="3">
        <v>1</v>
      </c>
      <c r="X18" s="3">
        <v>1</v>
      </c>
      <c r="Y18" s="3">
        <v>1</v>
      </c>
      <c r="Z18" s="3">
        <v>0</v>
      </c>
      <c r="AA18" s="3">
        <v>0</v>
      </c>
      <c r="AB18" s="3">
        <v>0</v>
      </c>
      <c r="AC18" s="3">
        <v>1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5">
        <v>0</v>
      </c>
      <c r="AM18" s="5">
        <v>0</v>
      </c>
      <c r="AN18" s="5">
        <v>0</v>
      </c>
      <c r="AO18" s="5">
        <v>1</v>
      </c>
      <c r="AP18" s="5">
        <v>0</v>
      </c>
      <c r="AQ18" s="5">
        <v>1</v>
      </c>
      <c r="AR18" s="5">
        <v>0</v>
      </c>
      <c r="AS18" s="5">
        <v>1</v>
      </c>
      <c r="AT18" s="5">
        <v>1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1</v>
      </c>
      <c r="BC18" s="5">
        <v>1</v>
      </c>
      <c r="BD18" s="5">
        <v>1</v>
      </c>
      <c r="BE18" s="5">
        <v>1</v>
      </c>
      <c r="BF18" s="5">
        <v>0</v>
      </c>
      <c r="BG18" s="5">
        <v>1</v>
      </c>
      <c r="BH18" s="5">
        <v>0</v>
      </c>
      <c r="BI18" s="5">
        <v>1</v>
      </c>
      <c r="BJ18" s="5">
        <v>0</v>
      </c>
      <c r="BK18" s="5">
        <v>0</v>
      </c>
      <c r="BL18" s="5">
        <v>0</v>
      </c>
      <c r="BM18" s="5">
        <v>0</v>
      </c>
      <c r="BN18" s="5">
        <v>1</v>
      </c>
      <c r="BO18" s="5">
        <v>0</v>
      </c>
      <c r="BP18" s="5">
        <v>0</v>
      </c>
      <c r="BQ18" s="3">
        <v>1</v>
      </c>
      <c r="BR18" s="3">
        <v>1</v>
      </c>
      <c r="BS18" s="3">
        <v>1</v>
      </c>
      <c r="BT18" s="3">
        <v>1</v>
      </c>
      <c r="BU18" s="3">
        <v>1</v>
      </c>
      <c r="BV18" s="7">
        <f ca="1">IFERROR(__xludf.DUMMYFUNCTION("AVERAGE(FILTER(D18:BR18, D18:BR18 &lt;&gt; """"))"),0.369230769230769)</f>
        <v>0.36923076923076897</v>
      </c>
    </row>
    <row r="19" spans="2:74" ht="15.75" customHeight="1">
      <c r="B19" s="4">
        <v>11</v>
      </c>
      <c r="C19" s="4" t="s">
        <v>99</v>
      </c>
      <c r="D19" s="3"/>
      <c r="E19" s="3">
        <v>0</v>
      </c>
      <c r="F19" s="3">
        <v>1</v>
      </c>
      <c r="G19" s="3">
        <v>0</v>
      </c>
      <c r="H19" s="3">
        <v>0</v>
      </c>
      <c r="I19" s="3">
        <v>1</v>
      </c>
      <c r="J19" s="3">
        <v>0</v>
      </c>
      <c r="K19" s="3">
        <v>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1</v>
      </c>
      <c r="W19" s="3">
        <v>1</v>
      </c>
      <c r="X19" s="3">
        <v>1</v>
      </c>
      <c r="Y19" s="3">
        <v>1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1</v>
      </c>
      <c r="AR19" s="5">
        <v>0</v>
      </c>
      <c r="AS19" s="5">
        <v>1</v>
      </c>
      <c r="AT19" s="5">
        <v>1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1</v>
      </c>
      <c r="BC19" s="5">
        <v>1</v>
      </c>
      <c r="BD19" s="5">
        <v>1</v>
      </c>
      <c r="BE19" s="5">
        <v>0</v>
      </c>
      <c r="BF19" s="5">
        <v>0</v>
      </c>
      <c r="BG19" s="5">
        <v>0</v>
      </c>
      <c r="BH19" s="5">
        <v>0</v>
      </c>
      <c r="BI19" s="5">
        <v>1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3">
        <v>1</v>
      </c>
      <c r="BR19" s="3">
        <v>0</v>
      </c>
      <c r="BS19" s="3">
        <v>0</v>
      </c>
      <c r="BT19" s="3">
        <v>0</v>
      </c>
      <c r="BU19" s="3">
        <v>0</v>
      </c>
      <c r="BV19" s="7">
        <f ca="1">IFERROR(__xludf.DUMMYFUNCTION("AVERAGE(FILTER(D19:BR19, D19:BR19 &lt;&gt; """"))"),0.227272727272727)</f>
        <v>0.22727272727272699</v>
      </c>
    </row>
    <row r="20" spans="2:74" ht="15.75" customHeight="1">
      <c r="B20" s="4">
        <v>12</v>
      </c>
      <c r="C20" s="4" t="s">
        <v>100</v>
      </c>
      <c r="D20" s="3"/>
      <c r="E20" s="3"/>
      <c r="F20" s="3"/>
      <c r="G20" s="3">
        <v>1</v>
      </c>
      <c r="H20" s="3">
        <v>0</v>
      </c>
      <c r="I20" s="3">
        <v>1</v>
      </c>
      <c r="J20" s="3">
        <v>0</v>
      </c>
      <c r="K20" s="3">
        <v>1</v>
      </c>
      <c r="L20" s="3">
        <v>0</v>
      </c>
      <c r="M20" s="3">
        <v>1</v>
      </c>
      <c r="N20" s="3">
        <v>0</v>
      </c>
      <c r="O20" s="3">
        <v>0</v>
      </c>
      <c r="P20" s="3">
        <v>1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1</v>
      </c>
      <c r="W20" s="3">
        <v>1</v>
      </c>
      <c r="X20" s="3">
        <v>1</v>
      </c>
      <c r="Y20" s="3">
        <v>1</v>
      </c>
      <c r="Z20" s="3">
        <v>1</v>
      </c>
      <c r="AA20" s="3">
        <v>0</v>
      </c>
      <c r="AB20" s="3">
        <v>0</v>
      </c>
      <c r="AC20" s="3">
        <v>1</v>
      </c>
      <c r="AD20" s="3">
        <v>0</v>
      </c>
      <c r="AE20" s="3">
        <v>0</v>
      </c>
      <c r="AF20" s="3">
        <v>0</v>
      </c>
      <c r="AG20" s="3">
        <v>1</v>
      </c>
      <c r="AH20" s="3">
        <v>0</v>
      </c>
      <c r="AI20" s="3">
        <v>0</v>
      </c>
      <c r="AJ20" s="3">
        <v>0</v>
      </c>
      <c r="AK20" s="3">
        <v>0</v>
      </c>
      <c r="AL20" s="5">
        <v>0</v>
      </c>
      <c r="AM20" s="5">
        <v>0</v>
      </c>
      <c r="AN20" s="5">
        <v>1</v>
      </c>
      <c r="AO20" s="5">
        <v>0</v>
      </c>
      <c r="AP20" s="5">
        <v>1</v>
      </c>
      <c r="AQ20" s="5">
        <v>1</v>
      </c>
      <c r="AR20" s="5">
        <v>0</v>
      </c>
      <c r="AS20" s="5">
        <v>1</v>
      </c>
      <c r="AT20" s="5">
        <v>1</v>
      </c>
      <c r="AU20" s="5">
        <v>0</v>
      </c>
      <c r="AV20" s="5">
        <v>0</v>
      </c>
      <c r="AW20" s="5">
        <v>0</v>
      </c>
      <c r="AX20" s="5">
        <v>1</v>
      </c>
      <c r="AY20" s="5">
        <v>0</v>
      </c>
      <c r="AZ20" s="5">
        <v>0</v>
      </c>
      <c r="BA20" s="5">
        <v>0</v>
      </c>
      <c r="BB20" s="5">
        <v>1</v>
      </c>
      <c r="BC20" s="5">
        <v>0</v>
      </c>
      <c r="BD20" s="5">
        <v>1</v>
      </c>
      <c r="BE20" s="5">
        <v>1</v>
      </c>
      <c r="BF20" s="5">
        <v>1</v>
      </c>
      <c r="BG20" s="5">
        <v>1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1</v>
      </c>
      <c r="BP20" s="5">
        <v>1</v>
      </c>
      <c r="BQ20" s="3">
        <v>1</v>
      </c>
      <c r="BR20" s="3">
        <v>1</v>
      </c>
      <c r="BS20" s="3">
        <v>0</v>
      </c>
      <c r="BT20" s="3">
        <v>0</v>
      </c>
      <c r="BU20" s="3">
        <v>1</v>
      </c>
      <c r="BV20" s="7">
        <f ca="1">IFERROR(__xludf.DUMMYFUNCTION("AVERAGE(FILTER(D20:BR20, D20:BR20 &lt;&gt; """"))"),0.421875)</f>
        <v>0.421875</v>
      </c>
    </row>
    <row r="21" spans="2:74" ht="15.75" customHeight="1">
      <c r="B21" s="4"/>
      <c r="C21" s="3" t="s">
        <v>101</v>
      </c>
      <c r="D21" s="8">
        <f ca="1">IFERROR(__xludf.DUMMYFUNCTION("AVERAGE(FILTER(D9:D20, D9:D20 &lt;&gt; """"))"),0.875)</f>
        <v>0.875</v>
      </c>
      <c r="E21" s="8">
        <f ca="1">IFERROR(__xludf.DUMMYFUNCTION("AVERAGE(FILTER(E9:E20, E9:E20 &lt;&gt; """"))"),0.8)</f>
        <v>0.8</v>
      </c>
      <c r="F21" s="8">
        <f ca="1">IFERROR(__xludf.DUMMYFUNCTION("AVERAGE(FILTER(F9:F20, F9:F20 &lt;&gt; """"))"),1)</f>
        <v>1</v>
      </c>
      <c r="G21" s="8">
        <f ca="1">IFERROR(__xludf.DUMMYFUNCTION("AVERAGE(FILTER(G9:G20, G9:G20 &lt;&gt; """"))"),0.75)</f>
        <v>0.75</v>
      </c>
      <c r="H21" s="8">
        <f ca="1">IFERROR(__xludf.DUMMYFUNCTION("AVERAGE(FILTER(H9:H20, H9:H20 &lt;&gt; """"))"),0.583333333333333)</f>
        <v>0.58333333333333304</v>
      </c>
      <c r="I21" s="8">
        <f ca="1">IFERROR(__xludf.DUMMYFUNCTION("AVERAGE(FILTER(I9:I20, I9:I20 &lt;&gt; """"))"),1)</f>
        <v>1</v>
      </c>
      <c r="J21" s="8">
        <f ca="1">IFERROR(__xludf.DUMMYFUNCTION("AVERAGE(FILTER(J9:J20, J9:J20 &lt;&gt; """"))"),0.75)</f>
        <v>0.75</v>
      </c>
      <c r="K21" s="8">
        <f ca="1">IFERROR(__xludf.DUMMYFUNCTION("AVERAGE(FILTER(K9:K20, K9:K20 &lt;&gt; """"))"),0.916666666666666)</f>
        <v>0.91666666666666596</v>
      </c>
      <c r="L21" s="8">
        <f ca="1">IFERROR(__xludf.DUMMYFUNCTION("AVERAGE(FILTER(L9:L20, L9:L20 &lt;&gt; """"))"),0.5)</f>
        <v>0.5</v>
      </c>
      <c r="M21" s="8">
        <f ca="1">IFERROR(__xludf.DUMMYFUNCTION("AVERAGE(FILTER(M9:M20, M9:M20 &lt;&gt; """"))"),0.5)</f>
        <v>0.5</v>
      </c>
      <c r="N21" s="8">
        <f ca="1">IFERROR(__xludf.DUMMYFUNCTION("AVERAGE(FILTER(N9:N20, N9:N20 &lt;&gt; """"))"),0.75)</f>
        <v>0.75</v>
      </c>
      <c r="O21" s="8">
        <f ca="1">IFERROR(__xludf.DUMMYFUNCTION("AVERAGE(FILTER(O9:O20, O9:O20 &lt;&gt; """"))"),0.666666666666666)</f>
        <v>0.66666666666666596</v>
      </c>
      <c r="P21" s="8">
        <f ca="1">IFERROR(__xludf.DUMMYFUNCTION("AVERAGE(FILTER(P9:P20, P9:P20 &lt;&gt; """"))"),0.833333333333333)</f>
        <v>0.83333333333333304</v>
      </c>
      <c r="Q21" s="8">
        <f ca="1">IFERROR(__xludf.DUMMYFUNCTION("AVERAGE(FILTER(Q9:Q20, Q9:Q20 &lt;&gt; """"))"),0.333333333333333)</f>
        <v>0.33333333333333298</v>
      </c>
      <c r="R21" s="8">
        <f ca="1">IFERROR(__xludf.DUMMYFUNCTION("AVERAGE(FILTER(R9:R20, R9:R20 &lt;&gt; """"))"),0.416666666666666)</f>
        <v>0.41666666666666602</v>
      </c>
      <c r="S21" s="8">
        <f ca="1">IFERROR(__xludf.DUMMYFUNCTION("AVERAGE(FILTER(S9:S20, S9:S20 &lt;&gt; """"))"),0.333333333333333)</f>
        <v>0.33333333333333298</v>
      </c>
      <c r="T21" s="8">
        <f ca="1">IFERROR(__xludf.DUMMYFUNCTION("AVERAGE(FILTER(T9:T20, T9:T20 &lt;&gt; """"))"),0.333333333333333)</f>
        <v>0.33333333333333298</v>
      </c>
      <c r="U21" s="8">
        <f ca="1">IFERROR(__xludf.DUMMYFUNCTION("AVERAGE(FILTER(U9:U20, U9:U20 &lt;&gt; """"))"),0.166666666666666)</f>
        <v>0.16666666666666599</v>
      </c>
      <c r="V21" s="8">
        <f ca="1">IFERROR(__xludf.DUMMYFUNCTION("AVERAGE(FILTER(V9:V20, V9:V20 &lt;&gt; """"))"),0.916666666666666)</f>
        <v>0.91666666666666596</v>
      </c>
      <c r="W21" s="8">
        <f ca="1">IFERROR(__xludf.DUMMYFUNCTION("AVERAGE(FILTER(W9:W20, W9:W20 &lt;&gt; """"))"),1)</f>
        <v>1</v>
      </c>
      <c r="X21" s="8">
        <f ca="1">IFERROR(__xludf.DUMMYFUNCTION("AVERAGE(FILTER(X9:X20, X9:X20 &lt;&gt; """"))"),0.916666666666666)</f>
        <v>0.91666666666666596</v>
      </c>
      <c r="Y21" s="8">
        <f ca="1">IFERROR(__xludf.DUMMYFUNCTION("AVERAGE(FILTER(Y9:Y20, Y9:Y20 &lt;&gt; """"))"),1)</f>
        <v>1</v>
      </c>
      <c r="Z21" s="8">
        <f ca="1">IFERROR(__xludf.DUMMYFUNCTION("AVERAGE(FILTER(Z9:Z20, Z9:Z20 &lt;&gt; """"))"),0.833333333333333)</f>
        <v>0.83333333333333304</v>
      </c>
      <c r="AA21" s="8">
        <f ca="1">IFERROR(__xludf.DUMMYFUNCTION("AVERAGE(FILTER(AA9:AA20, AA9:AA20 &lt;&gt; """"))"),0.166666666666666)</f>
        <v>0.16666666666666599</v>
      </c>
      <c r="AB21" s="8">
        <f ca="1">IFERROR(__xludf.DUMMYFUNCTION("AVERAGE(FILTER(AB9:AB20, AB9:AB20 &lt;&gt; """"))"),0.416666666666666)</f>
        <v>0.41666666666666602</v>
      </c>
      <c r="AC21" s="8">
        <f ca="1">IFERROR(__xludf.DUMMYFUNCTION("AVERAGE(FILTER(AC9:AC20, AC9:AC20 &lt;&gt; """"))"),0.916666666666666)</f>
        <v>0.91666666666666596</v>
      </c>
      <c r="AD21" s="8">
        <f ca="1">IFERROR(__xludf.DUMMYFUNCTION("AVERAGE(FILTER(AD9:AD20, AD9:AD20 &lt;&gt; """"))"),0.5)</f>
        <v>0.5</v>
      </c>
      <c r="AE21" s="8">
        <f ca="1">IFERROR(__xludf.DUMMYFUNCTION("AVERAGE(FILTER(AE9:AE20, AE9:AE20 &lt;&gt; """"))"),0.333333333333333)</f>
        <v>0.33333333333333298</v>
      </c>
      <c r="AF21" s="8">
        <f ca="1">IFERROR(__xludf.DUMMYFUNCTION("AVERAGE(FILTER(AF9:AF20, AF9:AF20 &lt;&gt; """"))"),0.75)</f>
        <v>0.75</v>
      </c>
      <c r="AG21" s="8">
        <f ca="1">IFERROR(__xludf.DUMMYFUNCTION("AVERAGE(FILTER(AG9:AG20, AG9:AG20 &lt;&gt; """"))"),0.583333333333333)</f>
        <v>0.58333333333333304</v>
      </c>
      <c r="AH21" s="8">
        <f ca="1">IFERROR(__xludf.DUMMYFUNCTION("AVERAGE(FILTER(AH9:AH20, AH9:AH20 &lt;&gt; """"))"),0.666666666666666)</f>
        <v>0.66666666666666596</v>
      </c>
      <c r="AI21" s="8">
        <f ca="1">IFERROR(__xludf.DUMMYFUNCTION("AVERAGE(FILTER(AI9:AI20, AI9:AI20 &lt;&gt; """"))"),0.416666666666666)</f>
        <v>0.41666666666666602</v>
      </c>
      <c r="AJ21" s="8">
        <f ca="1">IFERROR(__xludf.DUMMYFUNCTION("AVERAGE(FILTER(AJ9:AJ20, AJ9:AJ20 &lt;&gt; """"))"),0.25)</f>
        <v>0.25</v>
      </c>
      <c r="AK21" s="8">
        <f ca="1">IFERROR(__xludf.DUMMYFUNCTION("AVERAGE(FILTER(AK9:AK20, AK9:AK20 &lt;&gt; """"))"),0)</f>
        <v>0</v>
      </c>
      <c r="AL21" s="9">
        <f ca="1">IFERROR(__xludf.DUMMYFUNCTION("AVERAGE(FILTER(AL9:AL20, AL9:AL20 &lt;&gt; """"))"),0.5)</f>
        <v>0.5</v>
      </c>
      <c r="AM21" s="9">
        <f ca="1">IFERROR(__xludf.DUMMYFUNCTION("AVERAGE(FILTER(AM9:AM20, AM9:AM20 &lt;&gt; """"))"),0.5)</f>
        <v>0.5</v>
      </c>
      <c r="AN21" s="9">
        <f ca="1">IFERROR(__xludf.DUMMYFUNCTION("AVERAGE(FILTER(AN9:AN20, AN9:AN20 &lt;&gt; """"))"),0.833333333333333)</f>
        <v>0.83333333333333304</v>
      </c>
      <c r="AO21" s="9">
        <f ca="1">IFERROR(__xludf.DUMMYFUNCTION("AVERAGE(FILTER(AO9:AO20, AO9:AO20 &lt;&gt; """"))"),0.75)</f>
        <v>0.75</v>
      </c>
      <c r="AP21" s="9">
        <f ca="1">IFERROR(__xludf.DUMMYFUNCTION("AVERAGE(FILTER(AP9:AP20, AP9:AP20 &lt;&gt; """"))"),0.833333333333333)</f>
        <v>0.83333333333333304</v>
      </c>
      <c r="AQ21" s="9">
        <f ca="1">IFERROR(__xludf.DUMMYFUNCTION("AVERAGE(FILTER(AQ9:AQ20, AQ9:AQ20 &lt;&gt; """"))"),1)</f>
        <v>1</v>
      </c>
      <c r="AR21" s="9">
        <f ca="1">IFERROR(__xludf.DUMMYFUNCTION("AVERAGE(FILTER(AR9:AR20, AR9:AR20 &lt;&gt; """"))"),0.583333333333333)</f>
        <v>0.58333333333333304</v>
      </c>
      <c r="AS21" s="9">
        <f ca="1">IFERROR(__xludf.DUMMYFUNCTION("AVERAGE(FILTER(AS9:AS20, AS9:AS20 &lt;&gt; """"))"),0.833333333333333)</f>
        <v>0.83333333333333304</v>
      </c>
      <c r="AT21" s="9">
        <f ca="1">IFERROR(__xludf.DUMMYFUNCTION("AVERAGE(FILTER(AT9:AT20, AT9:AT20 &lt;&gt; """"))"),0.916666666666666)</f>
        <v>0.91666666666666596</v>
      </c>
      <c r="AU21" s="9">
        <f ca="1">IFERROR(__xludf.DUMMYFUNCTION("AVERAGE(FILTER(AU9:AU20, AU9:AU20 &lt;&gt; """"))"),0.333333333333333)</f>
        <v>0.33333333333333298</v>
      </c>
      <c r="AV21" s="9">
        <f ca="1">IFERROR(__xludf.DUMMYFUNCTION("AVERAGE(FILTER(AV9:AV20, AV9:AV20 &lt;&gt; """"))"),0.416666666666666)</f>
        <v>0.41666666666666602</v>
      </c>
      <c r="AW21" s="9">
        <f ca="1">IFERROR(__xludf.DUMMYFUNCTION("AVERAGE(FILTER(AW9:AW20, AW9:AW20 &lt;&gt; """"))"),0.666666666666666)</f>
        <v>0.66666666666666596</v>
      </c>
      <c r="AX21" s="9">
        <f ca="1">IFERROR(__xludf.DUMMYFUNCTION("AVERAGE(FILTER(AX9:AX20, AX9:AX20 &lt;&gt; """"))"),0.75)</f>
        <v>0.75</v>
      </c>
      <c r="AY21" s="9">
        <f ca="1">IFERROR(__xludf.DUMMYFUNCTION("AVERAGE(FILTER(AY9:AY20, AY9:AY20 &lt;&gt; """"))"),0.5)</f>
        <v>0.5</v>
      </c>
      <c r="AZ21" s="9">
        <f ca="1">IFERROR(__xludf.DUMMYFUNCTION("AVERAGE(FILTER(AZ9:AZ20, AZ9:AZ20 &lt;&gt; """"))"),0.166666666666666)</f>
        <v>0.16666666666666599</v>
      </c>
      <c r="BA21" s="9">
        <f ca="1">IFERROR(__xludf.DUMMYFUNCTION("AVERAGE(FILTER(BA9:BA20, BA9:BA20 &lt;&gt; """"))"),0.416666666666666)</f>
        <v>0.41666666666666602</v>
      </c>
      <c r="BB21" s="9">
        <f ca="1">IFERROR(__xludf.DUMMYFUNCTION("AVERAGE(FILTER(BB9:BB20, BB9:BB20 &lt;&gt; """"))"),0.916666666666666)</f>
        <v>0.91666666666666596</v>
      </c>
      <c r="BC21" s="9">
        <f ca="1">IFERROR(__xludf.DUMMYFUNCTION("AVERAGE(FILTER(BC9:BC20, BC9:BC20 &lt;&gt; """"))"),0.833333333333333)</f>
        <v>0.83333333333333304</v>
      </c>
      <c r="BD21" s="9">
        <f ca="1">IFERROR(__xludf.DUMMYFUNCTION("AVERAGE(FILTER(BD9:BD20, BD9:BD20 &lt;&gt; """"))"),1)</f>
        <v>1</v>
      </c>
      <c r="BE21" s="9">
        <f ca="1">IFERROR(__xludf.DUMMYFUNCTION("AVERAGE(FILTER(BE9:BE20, BE9:BE20 &lt;&gt; """"))"),0.916666666666666)</f>
        <v>0.91666666666666596</v>
      </c>
      <c r="BF21" s="9">
        <f ca="1">IFERROR(__xludf.DUMMYFUNCTION("AVERAGE(FILTER(BF9:BF20, BF9:BF20 &lt;&gt; """"))"),0.833333333333333)</f>
        <v>0.83333333333333304</v>
      </c>
      <c r="BG21" s="9">
        <f ca="1">IFERROR(__xludf.DUMMYFUNCTION("AVERAGE(FILTER(BG9:BG20, BG9:BG20 &lt;&gt; """"))"),0.916666666666666)</f>
        <v>0.91666666666666596</v>
      </c>
      <c r="BH21" s="9">
        <f ca="1">IFERROR(__xludf.DUMMYFUNCTION("AVERAGE(FILTER(BH9:BH20, BH9:BH20 &lt;&gt; """"))"),0.5)</f>
        <v>0.5</v>
      </c>
      <c r="BI21" s="9">
        <f ca="1">IFERROR(__xludf.DUMMYFUNCTION("AVERAGE(FILTER(BI9:BI20, BI9:BI20 &lt;&gt; """"))"),0.916666666666666)</f>
        <v>0.91666666666666596</v>
      </c>
      <c r="BJ21" s="9">
        <f ca="1">IFERROR(__xludf.DUMMYFUNCTION("AVERAGE(FILTER(BJ9:BJ20, BJ9:BJ20 &lt;&gt; """"))"),0.166666666666666)</f>
        <v>0.16666666666666599</v>
      </c>
      <c r="BK21" s="9">
        <f ca="1">IFERROR(__xludf.DUMMYFUNCTION("AVERAGE(FILTER(BK9:BK20, BK9:BK20 &lt;&gt; """"))"),0.416666666666666)</f>
        <v>0.41666666666666602</v>
      </c>
      <c r="BL21" s="9">
        <f ca="1">IFERROR(__xludf.DUMMYFUNCTION("AVERAGE(FILTER(BL9:BL20, BL9:BL20 &lt;&gt; """"))"),0.166666666666666)</f>
        <v>0.16666666666666599</v>
      </c>
      <c r="BM21" s="9">
        <f ca="1">IFERROR(__xludf.DUMMYFUNCTION("AVERAGE(FILTER(BM9:BM20, BM9:BM20 &lt;&gt; """"))"),0.25)</f>
        <v>0.25</v>
      </c>
      <c r="BN21" s="9">
        <f ca="1">IFERROR(__xludf.DUMMYFUNCTION("AVERAGE(FILTER(BN9:BN20, BN9:BN20 &lt;&gt; """"))"),0.833333333333333)</f>
        <v>0.83333333333333304</v>
      </c>
      <c r="BO21" s="9">
        <f ca="1">IFERROR(__xludf.DUMMYFUNCTION("AVERAGE(FILTER(BO9:BO20, BO9:BO20 &lt;&gt; """"))"),0.666666666666666)</f>
        <v>0.66666666666666596</v>
      </c>
      <c r="BP21" s="9">
        <f ca="1">IFERROR(__xludf.DUMMYFUNCTION("AVERAGE(FILTER(BP9:BP20, BP9:BP20 &lt;&gt; """"))"),0.666666666666666)</f>
        <v>0.66666666666666596</v>
      </c>
      <c r="BQ21" s="8">
        <f ca="1">IFERROR(__xludf.DUMMYFUNCTION("AVERAGE(FILTER(BQ9:BQ20, BQ9:BQ20 &lt;&gt; """"))"),1)</f>
        <v>1</v>
      </c>
      <c r="BR21" s="8">
        <f ca="1">IFERROR(__xludf.DUMMYFUNCTION("AVERAGE(FILTER(BR9:BR20, BR9:BR20 &lt;&gt; """"))"),0.916666666666666)</f>
        <v>0.91666666666666596</v>
      </c>
      <c r="BS21" s="8">
        <f ca="1">IFERROR(__xludf.DUMMYFUNCTION("AVERAGE(FILTER(BS9:BS20, BS9:BS20 &lt;&gt; """"))"),0.833333333333333)</f>
        <v>0.83333333333333304</v>
      </c>
      <c r="BT21" s="8">
        <f ca="1">IFERROR(__xludf.DUMMYFUNCTION("AVERAGE(FILTER(BT9:BT20, BT9:BT20 &lt;&gt; """"))"),0.833333333333333)</f>
        <v>0.83333333333333304</v>
      </c>
      <c r="BU21" s="8">
        <f ca="1">IFERROR(__xludf.DUMMYFUNCTION("AVERAGE(FILTER(BU9:BU20, BU9:BU20 &lt;&gt; """"))"),0.833333333333333)</f>
        <v>0.83333333333333304</v>
      </c>
      <c r="BV21" s="7">
        <f ca="1">IFERROR(__xludf.DUMMYFUNCTION("AVERAGE(FILTER(D21:BR21, D21:BR21 &lt;&gt; """"))"),0.643159203980099)</f>
        <v>0.64315920398009896</v>
      </c>
    </row>
  </sheetData>
  <phoneticPr fontId="7" type="noConversion"/>
  <conditionalFormatting sqref="D6:L20 M8:BU20">
    <cfRule type="cellIs" dxfId="3" priority="2" operator="equal">
      <formula>1</formula>
    </cfRule>
  </conditionalFormatting>
  <conditionalFormatting sqref="D8:BU20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S1037"/>
  <sheetViews>
    <sheetView showGridLines="0" workbookViewId="0"/>
  </sheetViews>
  <sheetFormatPr defaultColWidth="12.6328125" defaultRowHeight="15.75" customHeight="1"/>
  <cols>
    <col min="1" max="1" width="2.26953125" customWidth="1"/>
    <col min="2" max="2" width="15.08984375" customWidth="1"/>
    <col min="3" max="3" width="4.6328125" customWidth="1"/>
    <col min="4" max="4" width="10.08984375" customWidth="1"/>
    <col min="5" max="5" width="6.54296875" customWidth="1"/>
    <col min="6" max="6" width="5.26953125" customWidth="1"/>
    <col min="7" max="17" width="2.6328125" customWidth="1"/>
    <col min="18" max="18" width="2.90625" customWidth="1"/>
    <col min="19" max="19" width="8.36328125" customWidth="1"/>
  </cols>
  <sheetData>
    <row r="1" spans="1:19" ht="15.75" customHeight="1">
      <c r="D1" s="2"/>
      <c r="E1" s="2"/>
    </row>
    <row r="2" spans="1:19" ht="15.75" customHeight="1">
      <c r="A2" s="10"/>
      <c r="B2" s="3" t="s">
        <v>102</v>
      </c>
      <c r="C2" s="3" t="s">
        <v>61</v>
      </c>
      <c r="D2" s="3" t="s">
        <v>103</v>
      </c>
      <c r="E2" s="3" t="s">
        <v>84</v>
      </c>
      <c r="F2" s="3" t="s">
        <v>104</v>
      </c>
      <c r="G2" s="3">
        <v>1</v>
      </c>
      <c r="H2" s="3">
        <v>2</v>
      </c>
      <c r="I2" s="3">
        <v>3</v>
      </c>
      <c r="J2" s="3">
        <v>4</v>
      </c>
      <c r="K2" s="3">
        <v>5</v>
      </c>
      <c r="L2" s="3">
        <v>6</v>
      </c>
      <c r="M2" s="3">
        <v>7</v>
      </c>
      <c r="N2" s="3">
        <v>8</v>
      </c>
      <c r="O2" s="3">
        <v>9</v>
      </c>
      <c r="P2" s="3">
        <v>10</v>
      </c>
      <c r="Q2" s="3">
        <v>11</v>
      </c>
      <c r="R2" s="3">
        <v>12</v>
      </c>
      <c r="S2" s="4" t="s">
        <v>105</v>
      </c>
    </row>
    <row r="3" spans="1:19" ht="15.75" customHeight="1">
      <c r="B3" s="4" t="str">
        <f>종합!BQ4</f>
        <v>Qwen3 235A22B</v>
      </c>
      <c r="C3" s="4">
        <f>종합!BQ5</f>
        <v>235</v>
      </c>
      <c r="D3" s="3"/>
      <c r="E3" s="3" t="str">
        <f>종합!BQ7</f>
        <v>R</v>
      </c>
      <c r="F3" s="11">
        <f ca="1">종합!BQ21</f>
        <v>1</v>
      </c>
      <c r="G3" s="4">
        <f t="shared" ref="G3:G73" ca="1" si="0">IF(F3&gt;0/12,1,0)</f>
        <v>1</v>
      </c>
      <c r="H3" s="4">
        <f t="shared" ref="H3:H73" ca="1" si="1">IF(F3&gt;1/12,1,0)</f>
        <v>1</v>
      </c>
      <c r="I3" s="4">
        <f t="shared" ref="I3:I73" ca="1" si="2">IF(F3&gt;2/12,1,0)</f>
        <v>1</v>
      </c>
      <c r="J3" s="4">
        <f t="shared" ref="J3:J73" ca="1" si="3">IF(F3&gt;3/12,1,0)</f>
        <v>1</v>
      </c>
      <c r="K3" s="4">
        <f t="shared" ref="K3:K73" ca="1" si="4">IF(F3&gt;4/12,1,0)</f>
        <v>1</v>
      </c>
      <c r="L3" s="4">
        <f t="shared" ref="L3:L73" ca="1" si="5">IF(F3&gt;5/12,1,0)</f>
        <v>1</v>
      </c>
      <c r="M3" s="4">
        <f t="shared" ref="M3:M73" ca="1" si="6">IF(F3&gt;6/12,1,0)</f>
        <v>1</v>
      </c>
      <c r="N3" s="4">
        <f t="shared" ref="N3:N73" ca="1" si="7">IF(F3&gt;7/12,1,0)</f>
        <v>1</v>
      </c>
      <c r="O3" s="4">
        <f t="shared" ref="O3:O73" ca="1" si="8">IF(F3&gt;8/12,1,0)</f>
        <v>1</v>
      </c>
      <c r="P3" s="4">
        <f t="shared" ref="P3:P73" ca="1" si="9">IF(F3&gt;9/12,1,0)</f>
        <v>1</v>
      </c>
      <c r="Q3" s="4">
        <f t="shared" ref="Q3:Q73" ca="1" si="10">IF(F3&gt;10/12,1,0)</f>
        <v>1</v>
      </c>
      <c r="R3" s="4">
        <f t="shared" ref="R3:R73" ca="1" si="11">IF(F3&gt;11/12,1,0)</f>
        <v>1</v>
      </c>
      <c r="S3" s="4" t="str">
        <f>종합!BQ8</f>
        <v>2025.4.29</v>
      </c>
    </row>
    <row r="4" spans="1:19" ht="15.75" customHeight="1">
      <c r="B4" s="4" t="str">
        <f>종합!I4</f>
        <v>deepseekr1</v>
      </c>
      <c r="C4" s="4">
        <f>종합!I5</f>
        <v>70</v>
      </c>
      <c r="D4" s="3" t="str">
        <f>종합!I6</f>
        <v>Wrtn</v>
      </c>
      <c r="E4" s="3" t="str">
        <f>종합!I7</f>
        <v>R</v>
      </c>
      <c r="F4" s="11">
        <f ca="1">종합!I21</f>
        <v>1</v>
      </c>
      <c r="G4" s="4">
        <f t="shared" ca="1" si="0"/>
        <v>1</v>
      </c>
      <c r="H4" s="4">
        <f t="shared" ca="1" si="1"/>
        <v>1</v>
      </c>
      <c r="I4" s="4">
        <f t="shared" ca="1" si="2"/>
        <v>1</v>
      </c>
      <c r="J4" s="4">
        <f t="shared" ca="1" si="3"/>
        <v>1</v>
      </c>
      <c r="K4" s="4">
        <f t="shared" ca="1" si="4"/>
        <v>1</v>
      </c>
      <c r="L4" s="4">
        <f t="shared" ca="1" si="5"/>
        <v>1</v>
      </c>
      <c r="M4" s="4">
        <f t="shared" ca="1" si="6"/>
        <v>1</v>
      </c>
      <c r="N4" s="4">
        <f t="shared" ca="1" si="7"/>
        <v>1</v>
      </c>
      <c r="O4" s="4">
        <f t="shared" ca="1" si="8"/>
        <v>1</v>
      </c>
      <c r="P4" s="4">
        <f t="shared" ca="1" si="9"/>
        <v>1</v>
      </c>
      <c r="Q4" s="4">
        <f t="shared" ca="1" si="10"/>
        <v>1</v>
      </c>
      <c r="R4" s="4">
        <f t="shared" ca="1" si="11"/>
        <v>1</v>
      </c>
      <c r="S4" s="4"/>
    </row>
    <row r="5" spans="1:19" ht="15.75" customHeight="1">
      <c r="B5" s="4" t="str">
        <f>종합!F4</f>
        <v>o3mini high</v>
      </c>
      <c r="C5" s="4"/>
      <c r="D5" s="3"/>
      <c r="E5" s="3" t="str">
        <f>종합!F7</f>
        <v>R</v>
      </c>
      <c r="F5" s="11">
        <f ca="1">종합!F21</f>
        <v>1</v>
      </c>
      <c r="G5" s="4">
        <f t="shared" ca="1" si="0"/>
        <v>1</v>
      </c>
      <c r="H5" s="4">
        <f t="shared" ca="1" si="1"/>
        <v>1</v>
      </c>
      <c r="I5" s="4">
        <f t="shared" ca="1" si="2"/>
        <v>1</v>
      </c>
      <c r="J5" s="4">
        <f t="shared" ca="1" si="3"/>
        <v>1</v>
      </c>
      <c r="K5" s="4">
        <f t="shared" ca="1" si="4"/>
        <v>1</v>
      </c>
      <c r="L5" s="4">
        <f t="shared" ca="1" si="5"/>
        <v>1</v>
      </c>
      <c r="M5" s="4">
        <f t="shared" ca="1" si="6"/>
        <v>1</v>
      </c>
      <c r="N5" s="4">
        <f t="shared" ca="1" si="7"/>
        <v>1</v>
      </c>
      <c r="O5" s="4">
        <f t="shared" ca="1" si="8"/>
        <v>1</v>
      </c>
      <c r="P5" s="4">
        <f t="shared" ca="1" si="9"/>
        <v>1</v>
      </c>
      <c r="Q5" s="4">
        <f t="shared" ca="1" si="10"/>
        <v>1</v>
      </c>
      <c r="R5" s="4">
        <f t="shared" ca="1" si="11"/>
        <v>1</v>
      </c>
      <c r="S5" s="4"/>
    </row>
    <row r="6" spans="1:19" ht="15.75" customHeight="1">
      <c r="B6" s="4" t="str">
        <f>종합!W4</f>
        <v>grok 3</v>
      </c>
      <c r="C6" s="4">
        <f>종합!W5</f>
        <v>0</v>
      </c>
      <c r="D6" s="3" t="str">
        <f>종합!W6</f>
        <v>beta</v>
      </c>
      <c r="E6" s="3" t="str">
        <f>종합!W7</f>
        <v>R</v>
      </c>
      <c r="F6" s="11">
        <f ca="1">종합!W21</f>
        <v>1</v>
      </c>
      <c r="G6" s="4">
        <f t="shared" ca="1" si="0"/>
        <v>1</v>
      </c>
      <c r="H6" s="4">
        <f t="shared" ca="1" si="1"/>
        <v>1</v>
      </c>
      <c r="I6" s="4">
        <f t="shared" ca="1" si="2"/>
        <v>1</v>
      </c>
      <c r="J6" s="4">
        <f t="shared" ca="1" si="3"/>
        <v>1</v>
      </c>
      <c r="K6" s="4">
        <f t="shared" ca="1" si="4"/>
        <v>1</v>
      </c>
      <c r="L6" s="4">
        <f t="shared" ca="1" si="5"/>
        <v>1</v>
      </c>
      <c r="M6" s="4">
        <f t="shared" ca="1" si="6"/>
        <v>1</v>
      </c>
      <c r="N6" s="4">
        <f t="shared" ca="1" si="7"/>
        <v>1</v>
      </c>
      <c r="O6" s="4">
        <f t="shared" ca="1" si="8"/>
        <v>1</v>
      </c>
      <c r="P6" s="4">
        <f t="shared" ca="1" si="9"/>
        <v>1</v>
      </c>
      <c r="Q6" s="4">
        <f t="shared" ca="1" si="10"/>
        <v>1</v>
      </c>
      <c r="R6" s="4">
        <f t="shared" ca="1" si="11"/>
        <v>1</v>
      </c>
      <c r="S6" s="4"/>
    </row>
    <row r="7" spans="1:19" ht="15.75" customHeight="1">
      <c r="B7" s="12" t="str">
        <f>종합!Y4</f>
        <v>Claude3.7s</v>
      </c>
      <c r="C7" s="12"/>
      <c r="D7" s="13"/>
      <c r="E7" s="13" t="str">
        <f>종합!Y7</f>
        <v>R</v>
      </c>
      <c r="F7" s="14">
        <f ca="1">종합!Y21</f>
        <v>1</v>
      </c>
      <c r="G7" s="12">
        <f t="shared" ca="1" si="0"/>
        <v>1</v>
      </c>
      <c r="H7" s="12">
        <f t="shared" ca="1" si="1"/>
        <v>1</v>
      </c>
      <c r="I7" s="12">
        <f t="shared" ca="1" si="2"/>
        <v>1</v>
      </c>
      <c r="J7" s="12">
        <f t="shared" ca="1" si="3"/>
        <v>1</v>
      </c>
      <c r="K7" s="12">
        <f t="shared" ca="1" si="4"/>
        <v>1</v>
      </c>
      <c r="L7" s="12">
        <f t="shared" ca="1" si="5"/>
        <v>1</v>
      </c>
      <c r="M7" s="12">
        <f t="shared" ca="1" si="6"/>
        <v>1</v>
      </c>
      <c r="N7" s="12">
        <f t="shared" ca="1" si="7"/>
        <v>1</v>
      </c>
      <c r="O7" s="12">
        <f t="shared" ca="1" si="8"/>
        <v>1</v>
      </c>
      <c r="P7" s="12">
        <f t="shared" ca="1" si="9"/>
        <v>1</v>
      </c>
      <c r="Q7" s="12">
        <f t="shared" ca="1" si="10"/>
        <v>1</v>
      </c>
      <c r="R7" s="12">
        <f t="shared" ca="1" si="11"/>
        <v>1</v>
      </c>
      <c r="S7" s="4"/>
    </row>
    <row r="8" spans="1:19" ht="15.75" customHeight="1">
      <c r="B8" s="12" t="str">
        <f>종합!AQ4</f>
        <v>gemini 2.5 pro exp.</v>
      </c>
      <c r="C8" s="12"/>
      <c r="D8" s="13"/>
      <c r="E8" s="13" t="str">
        <f>종합!AQ7</f>
        <v>R</v>
      </c>
      <c r="F8" s="14">
        <f ca="1">종합!AQ21</f>
        <v>1</v>
      </c>
      <c r="G8" s="12">
        <f t="shared" ca="1" si="0"/>
        <v>1</v>
      </c>
      <c r="H8" s="12">
        <f t="shared" ca="1" si="1"/>
        <v>1</v>
      </c>
      <c r="I8" s="12">
        <f t="shared" ca="1" si="2"/>
        <v>1</v>
      </c>
      <c r="J8" s="12">
        <f t="shared" ca="1" si="3"/>
        <v>1</v>
      </c>
      <c r="K8" s="12">
        <f t="shared" ca="1" si="4"/>
        <v>1</v>
      </c>
      <c r="L8" s="12">
        <f t="shared" ca="1" si="5"/>
        <v>1</v>
      </c>
      <c r="M8" s="12">
        <f t="shared" ca="1" si="6"/>
        <v>1</v>
      </c>
      <c r="N8" s="12">
        <f t="shared" ca="1" si="7"/>
        <v>1</v>
      </c>
      <c r="O8" s="12">
        <f t="shared" ca="1" si="8"/>
        <v>1</v>
      </c>
      <c r="P8" s="12">
        <f t="shared" ca="1" si="9"/>
        <v>1</v>
      </c>
      <c r="Q8" s="12">
        <f t="shared" ca="1" si="10"/>
        <v>1</v>
      </c>
      <c r="R8" s="12">
        <f t="shared" ca="1" si="11"/>
        <v>1</v>
      </c>
      <c r="S8" s="4"/>
    </row>
    <row r="9" spans="1:19" ht="15.75" customHeight="1">
      <c r="B9" s="4" t="str">
        <f>종합!BD4</f>
        <v>o3</v>
      </c>
      <c r="C9" s="4"/>
      <c r="D9" s="3"/>
      <c r="E9" s="3" t="str">
        <f>종합!BD7</f>
        <v>R</v>
      </c>
      <c r="F9" s="11">
        <f ca="1">종합!BD21</f>
        <v>1</v>
      </c>
      <c r="G9" s="4">
        <f t="shared" ca="1" si="0"/>
        <v>1</v>
      </c>
      <c r="H9" s="4">
        <f t="shared" ca="1" si="1"/>
        <v>1</v>
      </c>
      <c r="I9" s="4">
        <f t="shared" ca="1" si="2"/>
        <v>1</v>
      </c>
      <c r="J9" s="4">
        <f t="shared" ca="1" si="3"/>
        <v>1</v>
      </c>
      <c r="K9" s="4">
        <f t="shared" ca="1" si="4"/>
        <v>1</v>
      </c>
      <c r="L9" s="4">
        <f t="shared" ca="1" si="5"/>
        <v>1</v>
      </c>
      <c r="M9" s="4">
        <f t="shared" ca="1" si="6"/>
        <v>1</v>
      </c>
      <c r="N9" s="4">
        <f t="shared" ca="1" si="7"/>
        <v>1</v>
      </c>
      <c r="O9" s="4">
        <f t="shared" ca="1" si="8"/>
        <v>1</v>
      </c>
      <c r="P9" s="4">
        <f t="shared" ca="1" si="9"/>
        <v>1</v>
      </c>
      <c r="Q9" s="4">
        <f t="shared" ca="1" si="10"/>
        <v>1</v>
      </c>
      <c r="R9" s="4">
        <f t="shared" ca="1" si="11"/>
        <v>1</v>
      </c>
      <c r="S9" s="4"/>
    </row>
    <row r="10" spans="1:19" ht="15.75" customHeight="1">
      <c r="B10" s="4" t="str">
        <f>종합!BR4</f>
        <v>Qwen3 30A3B</v>
      </c>
      <c r="C10" s="4">
        <f>종합!BR5</f>
        <v>30</v>
      </c>
      <c r="D10" s="3"/>
      <c r="E10" s="3" t="str">
        <f>종합!BR7</f>
        <v>R</v>
      </c>
      <c r="F10" s="11">
        <f ca="1">종합!BR21</f>
        <v>0.91666666666666596</v>
      </c>
      <c r="G10" s="4">
        <f t="shared" ca="1" si="0"/>
        <v>1</v>
      </c>
      <c r="H10" s="4">
        <f t="shared" ca="1" si="1"/>
        <v>1</v>
      </c>
      <c r="I10" s="4">
        <f t="shared" ca="1" si="2"/>
        <v>1</v>
      </c>
      <c r="J10" s="4">
        <f t="shared" ca="1" si="3"/>
        <v>1</v>
      </c>
      <c r="K10" s="4">
        <f t="shared" ca="1" si="4"/>
        <v>1</v>
      </c>
      <c r="L10" s="4">
        <f t="shared" ca="1" si="5"/>
        <v>1</v>
      </c>
      <c r="M10" s="4">
        <f t="shared" ca="1" si="6"/>
        <v>1</v>
      </c>
      <c r="N10" s="4">
        <f t="shared" ca="1" si="7"/>
        <v>1</v>
      </c>
      <c r="O10" s="4">
        <f t="shared" ca="1" si="8"/>
        <v>1</v>
      </c>
      <c r="P10" s="4">
        <f t="shared" ca="1" si="9"/>
        <v>1</v>
      </c>
      <c r="Q10" s="4">
        <f t="shared" ca="1" si="10"/>
        <v>1</v>
      </c>
      <c r="R10" s="4">
        <f t="shared" ca="1" si="11"/>
        <v>0</v>
      </c>
      <c r="S10" s="4" t="str">
        <f>종합!BR8</f>
        <v>2025.4.29</v>
      </c>
    </row>
    <row r="11" spans="1:19" ht="15.75" customHeight="1">
      <c r="B11" s="4" t="str">
        <f>종합!BE4</f>
        <v>o4 mini</v>
      </c>
      <c r="C11" s="4"/>
      <c r="D11" s="3"/>
      <c r="E11" s="3" t="str">
        <f>종합!BE7</f>
        <v>R</v>
      </c>
      <c r="F11" s="11">
        <f ca="1">종합!BE21</f>
        <v>0.91666666666666596</v>
      </c>
      <c r="G11" s="4">
        <f t="shared" ca="1" si="0"/>
        <v>1</v>
      </c>
      <c r="H11" s="4">
        <f t="shared" ca="1" si="1"/>
        <v>1</v>
      </c>
      <c r="I11" s="4">
        <f t="shared" ca="1" si="2"/>
        <v>1</v>
      </c>
      <c r="J11" s="4">
        <f t="shared" ca="1" si="3"/>
        <v>1</v>
      </c>
      <c r="K11" s="4">
        <f t="shared" ca="1" si="4"/>
        <v>1</v>
      </c>
      <c r="L11" s="4">
        <f t="shared" ca="1" si="5"/>
        <v>1</v>
      </c>
      <c r="M11" s="4">
        <f t="shared" ca="1" si="6"/>
        <v>1</v>
      </c>
      <c r="N11" s="4">
        <f t="shared" ca="1" si="7"/>
        <v>1</v>
      </c>
      <c r="O11" s="4">
        <f t="shared" ca="1" si="8"/>
        <v>1</v>
      </c>
      <c r="P11" s="4">
        <f t="shared" ca="1" si="9"/>
        <v>1</v>
      </c>
      <c r="Q11" s="4">
        <f t="shared" ca="1" si="10"/>
        <v>1</v>
      </c>
      <c r="R11" s="4">
        <f t="shared" ca="1" si="11"/>
        <v>0</v>
      </c>
      <c r="S11" s="4"/>
    </row>
    <row r="12" spans="1:19" ht="15.75" customHeight="1">
      <c r="B12" s="4" t="str">
        <f>종합!BG4</f>
        <v>gemini 2.5 Flash</v>
      </c>
      <c r="C12" s="4"/>
      <c r="D12" s="3"/>
      <c r="E12" s="3" t="str">
        <f>종합!BG7</f>
        <v>R</v>
      </c>
      <c r="F12" s="11">
        <f ca="1">종합!BG21</f>
        <v>0.91666666666666596</v>
      </c>
      <c r="G12" s="4">
        <f t="shared" ca="1" si="0"/>
        <v>1</v>
      </c>
      <c r="H12" s="4">
        <f t="shared" ca="1" si="1"/>
        <v>1</v>
      </c>
      <c r="I12" s="4">
        <f t="shared" ca="1" si="2"/>
        <v>1</v>
      </c>
      <c r="J12" s="4">
        <f t="shared" ca="1" si="3"/>
        <v>1</v>
      </c>
      <c r="K12" s="4">
        <f t="shared" ca="1" si="4"/>
        <v>1</v>
      </c>
      <c r="L12" s="4">
        <f t="shared" ca="1" si="5"/>
        <v>1</v>
      </c>
      <c r="M12" s="4">
        <f t="shared" ca="1" si="6"/>
        <v>1</v>
      </c>
      <c r="N12" s="4">
        <f t="shared" ca="1" si="7"/>
        <v>1</v>
      </c>
      <c r="O12" s="4">
        <f t="shared" ca="1" si="8"/>
        <v>1</v>
      </c>
      <c r="P12" s="4">
        <f t="shared" ca="1" si="9"/>
        <v>1</v>
      </c>
      <c r="Q12" s="4">
        <f t="shared" ca="1" si="10"/>
        <v>1</v>
      </c>
      <c r="R12" s="4">
        <f t="shared" ca="1" si="11"/>
        <v>0</v>
      </c>
      <c r="S12" s="4"/>
    </row>
    <row r="13" spans="1:19" ht="15.75" customHeight="1">
      <c r="B13" s="4" t="str">
        <f>종합!BI4</f>
        <v>Grok 3 mini</v>
      </c>
      <c r="C13" s="4"/>
      <c r="D13" s="3" t="str">
        <f>종합!BI6</f>
        <v>API / JN</v>
      </c>
      <c r="E13" s="3" t="str">
        <f>종합!BI7</f>
        <v>R</v>
      </c>
      <c r="F13" s="11">
        <f ca="1">종합!BI21</f>
        <v>0.91666666666666596</v>
      </c>
      <c r="G13" s="4">
        <f t="shared" ca="1" si="0"/>
        <v>1</v>
      </c>
      <c r="H13" s="4">
        <f t="shared" ca="1" si="1"/>
        <v>1</v>
      </c>
      <c r="I13" s="4">
        <f t="shared" ca="1" si="2"/>
        <v>1</v>
      </c>
      <c r="J13" s="4">
        <f t="shared" ca="1" si="3"/>
        <v>1</v>
      </c>
      <c r="K13" s="4">
        <f t="shared" ca="1" si="4"/>
        <v>1</v>
      </c>
      <c r="L13" s="4">
        <f t="shared" ca="1" si="5"/>
        <v>1</v>
      </c>
      <c r="M13" s="4">
        <f t="shared" ca="1" si="6"/>
        <v>1</v>
      </c>
      <c r="N13" s="4">
        <f t="shared" ca="1" si="7"/>
        <v>1</v>
      </c>
      <c r="O13" s="4">
        <f t="shared" ca="1" si="8"/>
        <v>1</v>
      </c>
      <c r="P13" s="4">
        <f t="shared" ca="1" si="9"/>
        <v>1</v>
      </c>
      <c r="Q13" s="4">
        <f t="shared" ca="1" si="10"/>
        <v>1</v>
      </c>
      <c r="R13" s="4">
        <f t="shared" ca="1" si="11"/>
        <v>0</v>
      </c>
      <c r="S13" s="4"/>
    </row>
    <row r="14" spans="1:19" ht="15.75" customHeight="1">
      <c r="B14" s="4" t="str">
        <f>종합!V4</f>
        <v>grok 3</v>
      </c>
      <c r="C14" s="4">
        <f>종합!V5</f>
        <v>0</v>
      </c>
      <c r="D14" s="3" t="str">
        <f>종합!V6</f>
        <v>lmarena</v>
      </c>
      <c r="E14" s="3">
        <f>종합!L7</f>
        <v>0</v>
      </c>
      <c r="F14" s="11">
        <f ca="1">종합!V21</f>
        <v>0.91666666666666596</v>
      </c>
      <c r="G14" s="4">
        <f t="shared" ca="1" si="0"/>
        <v>1</v>
      </c>
      <c r="H14" s="4">
        <f t="shared" ca="1" si="1"/>
        <v>1</v>
      </c>
      <c r="I14" s="4">
        <f t="shared" ca="1" si="2"/>
        <v>1</v>
      </c>
      <c r="J14" s="4">
        <f t="shared" ca="1" si="3"/>
        <v>1</v>
      </c>
      <c r="K14" s="4">
        <f t="shared" ca="1" si="4"/>
        <v>1</v>
      </c>
      <c r="L14" s="4">
        <f t="shared" ca="1" si="5"/>
        <v>1</v>
      </c>
      <c r="M14" s="4">
        <f t="shared" ca="1" si="6"/>
        <v>1</v>
      </c>
      <c r="N14" s="4">
        <f t="shared" ca="1" si="7"/>
        <v>1</v>
      </c>
      <c r="O14" s="4">
        <f t="shared" ca="1" si="8"/>
        <v>1</v>
      </c>
      <c r="P14" s="4">
        <f t="shared" ca="1" si="9"/>
        <v>1</v>
      </c>
      <c r="Q14" s="4">
        <f t="shared" ca="1" si="10"/>
        <v>1</v>
      </c>
      <c r="R14" s="4">
        <f t="shared" ca="1" si="11"/>
        <v>0</v>
      </c>
      <c r="S14" s="4"/>
    </row>
    <row r="15" spans="1:19" ht="15.75" customHeight="1">
      <c r="B15" s="4" t="str">
        <f>종합!K4</f>
        <v>gemini2pro</v>
      </c>
      <c r="C15" s="4"/>
      <c r="D15" s="3"/>
      <c r="E15" s="3">
        <f>종합!K7</f>
        <v>0</v>
      </c>
      <c r="F15" s="11">
        <f ca="1">종합!K21</f>
        <v>0.91666666666666596</v>
      </c>
      <c r="G15" s="4">
        <f t="shared" ca="1" si="0"/>
        <v>1</v>
      </c>
      <c r="H15" s="4">
        <f t="shared" ca="1" si="1"/>
        <v>1</v>
      </c>
      <c r="I15" s="4">
        <f t="shared" ca="1" si="2"/>
        <v>1</v>
      </c>
      <c r="J15" s="4">
        <f t="shared" ca="1" si="3"/>
        <v>1</v>
      </c>
      <c r="K15" s="4">
        <f t="shared" ca="1" si="4"/>
        <v>1</v>
      </c>
      <c r="L15" s="4">
        <f t="shared" ca="1" si="5"/>
        <v>1</v>
      </c>
      <c r="M15" s="4">
        <f t="shared" ca="1" si="6"/>
        <v>1</v>
      </c>
      <c r="N15" s="4">
        <f t="shared" ca="1" si="7"/>
        <v>1</v>
      </c>
      <c r="O15" s="4">
        <f t="shared" ca="1" si="8"/>
        <v>1</v>
      </c>
      <c r="P15" s="4">
        <f t="shared" ca="1" si="9"/>
        <v>1</v>
      </c>
      <c r="Q15" s="4">
        <f t="shared" ca="1" si="10"/>
        <v>1</v>
      </c>
      <c r="R15" s="4">
        <f t="shared" ca="1" si="11"/>
        <v>0</v>
      </c>
      <c r="S15" s="4"/>
    </row>
    <row r="16" spans="1:19" ht="15.75" customHeight="1">
      <c r="B16" s="12" t="str">
        <f>종합!X4</f>
        <v>Claude 3.5s</v>
      </c>
      <c r="C16" s="12">
        <f>종합!X5</f>
        <v>0</v>
      </c>
      <c r="D16" s="13">
        <f>종합!X6</f>
        <v>0</v>
      </c>
      <c r="E16" s="13"/>
      <c r="F16" s="14">
        <f ca="1">종합!X21</f>
        <v>0.91666666666666596</v>
      </c>
      <c r="G16" s="12">
        <f t="shared" ca="1" si="0"/>
        <v>1</v>
      </c>
      <c r="H16" s="12">
        <f t="shared" ca="1" si="1"/>
        <v>1</v>
      </c>
      <c r="I16" s="12">
        <f t="shared" ca="1" si="2"/>
        <v>1</v>
      </c>
      <c r="J16" s="12">
        <f t="shared" ca="1" si="3"/>
        <v>1</v>
      </c>
      <c r="K16" s="12">
        <f t="shared" ca="1" si="4"/>
        <v>1</v>
      </c>
      <c r="L16" s="12">
        <f t="shared" ca="1" si="5"/>
        <v>1</v>
      </c>
      <c r="M16" s="12">
        <f t="shared" ca="1" si="6"/>
        <v>1</v>
      </c>
      <c r="N16" s="12">
        <f t="shared" ca="1" si="7"/>
        <v>1</v>
      </c>
      <c r="O16" s="12">
        <f t="shared" ca="1" si="8"/>
        <v>1</v>
      </c>
      <c r="P16" s="12">
        <f t="shared" ca="1" si="9"/>
        <v>1</v>
      </c>
      <c r="Q16" s="12">
        <f t="shared" ca="1" si="10"/>
        <v>1</v>
      </c>
      <c r="R16" s="12">
        <f t="shared" ca="1" si="11"/>
        <v>0</v>
      </c>
      <c r="S16" s="4"/>
    </row>
    <row r="17" spans="2:19" ht="15.75" customHeight="1">
      <c r="B17" s="15" t="str">
        <f>종합!AC4</f>
        <v>ChatGPT4.5</v>
      </c>
      <c r="C17" s="12">
        <f>종합!AC5</f>
        <v>0</v>
      </c>
      <c r="D17" s="13">
        <f>종합!AC6</f>
        <v>0</v>
      </c>
      <c r="E17" s="13">
        <f>종합!AC7</f>
        <v>0</v>
      </c>
      <c r="F17" s="14">
        <f ca="1">종합!AC21</f>
        <v>0.91666666666666596</v>
      </c>
      <c r="G17" s="12">
        <f t="shared" ca="1" si="0"/>
        <v>1</v>
      </c>
      <c r="H17" s="12">
        <f t="shared" ca="1" si="1"/>
        <v>1</v>
      </c>
      <c r="I17" s="12">
        <f t="shared" ca="1" si="2"/>
        <v>1</v>
      </c>
      <c r="J17" s="12">
        <f t="shared" ca="1" si="3"/>
        <v>1</v>
      </c>
      <c r="K17" s="12">
        <f t="shared" ca="1" si="4"/>
        <v>1</v>
      </c>
      <c r="L17" s="12">
        <f t="shared" ca="1" si="5"/>
        <v>1</v>
      </c>
      <c r="M17" s="12">
        <f t="shared" ca="1" si="6"/>
        <v>1</v>
      </c>
      <c r="N17" s="12">
        <f t="shared" ca="1" si="7"/>
        <v>1</v>
      </c>
      <c r="O17" s="12">
        <f t="shared" ca="1" si="8"/>
        <v>1</v>
      </c>
      <c r="P17" s="12">
        <f t="shared" ca="1" si="9"/>
        <v>1</v>
      </c>
      <c r="Q17" s="12">
        <f t="shared" ca="1" si="10"/>
        <v>1</v>
      </c>
      <c r="R17" s="12">
        <f t="shared" ca="1" si="11"/>
        <v>0</v>
      </c>
      <c r="S17" s="4"/>
    </row>
    <row r="18" spans="2:19" ht="15.75" customHeight="1">
      <c r="B18" s="4" t="str">
        <f>종합!AT4</f>
        <v>Quasar Alpha</v>
      </c>
      <c r="C18" s="4"/>
      <c r="D18" s="3" t="str">
        <f>종합!AT6</f>
        <v>OpenRouter</v>
      </c>
      <c r="E18" s="3"/>
      <c r="F18" s="11">
        <f ca="1">종합!AT21</f>
        <v>0.91666666666666596</v>
      </c>
      <c r="G18" s="4">
        <f t="shared" ca="1" si="0"/>
        <v>1</v>
      </c>
      <c r="H18" s="4">
        <f t="shared" ca="1" si="1"/>
        <v>1</v>
      </c>
      <c r="I18" s="4">
        <f t="shared" ca="1" si="2"/>
        <v>1</v>
      </c>
      <c r="J18" s="4">
        <f t="shared" ca="1" si="3"/>
        <v>1</v>
      </c>
      <c r="K18" s="4">
        <f t="shared" ca="1" si="4"/>
        <v>1</v>
      </c>
      <c r="L18" s="4">
        <f t="shared" ca="1" si="5"/>
        <v>1</v>
      </c>
      <c r="M18" s="4">
        <f t="shared" ca="1" si="6"/>
        <v>1</v>
      </c>
      <c r="N18" s="4">
        <f t="shared" ca="1" si="7"/>
        <v>1</v>
      </c>
      <c r="O18" s="4">
        <f t="shared" ca="1" si="8"/>
        <v>1</v>
      </c>
      <c r="P18" s="4">
        <f t="shared" ca="1" si="9"/>
        <v>1</v>
      </c>
      <c r="Q18" s="4">
        <f t="shared" ca="1" si="10"/>
        <v>1</v>
      </c>
      <c r="R18" s="4">
        <f t="shared" ca="1" si="11"/>
        <v>0</v>
      </c>
      <c r="S18" s="4"/>
    </row>
    <row r="19" spans="2:19" ht="15.75" customHeight="1">
      <c r="B19" s="16" t="str">
        <f>종합!BB4</f>
        <v>GPT 4.1 mini</v>
      </c>
      <c r="C19" s="16"/>
      <c r="D19" s="17" t="str">
        <f>종합!BB6</f>
        <v>Playground</v>
      </c>
      <c r="E19" s="17"/>
      <c r="F19" s="18">
        <f ca="1">종합!BB21</f>
        <v>0.91666666666666596</v>
      </c>
      <c r="G19" s="16">
        <f t="shared" ca="1" si="0"/>
        <v>1</v>
      </c>
      <c r="H19" s="16">
        <f t="shared" ca="1" si="1"/>
        <v>1</v>
      </c>
      <c r="I19" s="16">
        <f t="shared" ca="1" si="2"/>
        <v>1</v>
      </c>
      <c r="J19" s="16">
        <f t="shared" ca="1" si="3"/>
        <v>1</v>
      </c>
      <c r="K19" s="16">
        <f t="shared" ca="1" si="4"/>
        <v>1</v>
      </c>
      <c r="L19" s="16">
        <f t="shared" ca="1" si="5"/>
        <v>1</v>
      </c>
      <c r="M19" s="16">
        <f t="shared" ca="1" si="6"/>
        <v>1</v>
      </c>
      <c r="N19" s="16">
        <f t="shared" ca="1" si="7"/>
        <v>1</v>
      </c>
      <c r="O19" s="16">
        <f t="shared" ca="1" si="8"/>
        <v>1</v>
      </c>
      <c r="P19" s="16">
        <f t="shared" ca="1" si="9"/>
        <v>1</v>
      </c>
      <c r="Q19" s="16">
        <f t="shared" ca="1" si="10"/>
        <v>1</v>
      </c>
      <c r="R19" s="16">
        <f t="shared" ca="1" si="11"/>
        <v>0</v>
      </c>
      <c r="S19" s="4"/>
    </row>
    <row r="20" spans="2:19" ht="15.75" customHeight="1">
      <c r="B20" s="4" t="str">
        <f>종합!D4</f>
        <v>deepseekr1</v>
      </c>
      <c r="C20" s="4">
        <f>종합!D5</f>
        <v>70</v>
      </c>
      <c r="D20" s="3" t="str">
        <f>종합!D6</f>
        <v>groq</v>
      </c>
      <c r="E20" s="3" t="str">
        <f>종합!D7</f>
        <v>R</v>
      </c>
      <c r="F20" s="11">
        <f ca="1">종합!D21</f>
        <v>0.875</v>
      </c>
      <c r="G20" s="4">
        <f t="shared" ca="1" si="0"/>
        <v>1</v>
      </c>
      <c r="H20" s="4">
        <f t="shared" ca="1" si="1"/>
        <v>1</v>
      </c>
      <c r="I20" s="4">
        <f t="shared" ca="1" si="2"/>
        <v>1</v>
      </c>
      <c r="J20" s="4">
        <f t="shared" ca="1" si="3"/>
        <v>1</v>
      </c>
      <c r="K20" s="4">
        <f t="shared" ca="1" si="4"/>
        <v>1</v>
      </c>
      <c r="L20" s="4">
        <f t="shared" ca="1" si="5"/>
        <v>1</v>
      </c>
      <c r="M20" s="4">
        <f t="shared" ca="1" si="6"/>
        <v>1</v>
      </c>
      <c r="N20" s="4">
        <f t="shared" ca="1" si="7"/>
        <v>1</v>
      </c>
      <c r="O20" s="4">
        <f t="shared" ca="1" si="8"/>
        <v>1</v>
      </c>
      <c r="P20" s="4">
        <f t="shared" ca="1" si="9"/>
        <v>1</v>
      </c>
      <c r="Q20" s="4">
        <f t="shared" ca="1" si="10"/>
        <v>1</v>
      </c>
      <c r="R20" s="4">
        <f t="shared" ca="1" si="11"/>
        <v>0</v>
      </c>
      <c r="S20" s="4"/>
    </row>
    <row r="21" spans="2:19" ht="15.75" customHeight="1">
      <c r="B21" s="4" t="str">
        <f>종합!AS4</f>
        <v>Llama4 Maverick</v>
      </c>
      <c r="C21" s="4">
        <f>종합!AS5</f>
        <v>400</v>
      </c>
      <c r="D21" s="3" t="str">
        <f>종합!AS6</f>
        <v>OpenRouter</v>
      </c>
      <c r="E21" s="3"/>
      <c r="F21" s="11">
        <f ca="1">종합!AS21</f>
        <v>0.83333333333333304</v>
      </c>
      <c r="G21" s="4">
        <f t="shared" ca="1" si="0"/>
        <v>1</v>
      </c>
      <c r="H21" s="4">
        <f t="shared" ca="1" si="1"/>
        <v>1</v>
      </c>
      <c r="I21" s="4">
        <f t="shared" ca="1" si="2"/>
        <v>1</v>
      </c>
      <c r="J21" s="4">
        <f t="shared" ca="1" si="3"/>
        <v>1</v>
      </c>
      <c r="K21" s="4">
        <f t="shared" ca="1" si="4"/>
        <v>1</v>
      </c>
      <c r="L21" s="4">
        <f t="shared" ca="1" si="5"/>
        <v>1</v>
      </c>
      <c r="M21" s="4">
        <f t="shared" ca="1" si="6"/>
        <v>1</v>
      </c>
      <c r="N21" s="4">
        <f t="shared" ca="1" si="7"/>
        <v>1</v>
      </c>
      <c r="O21" s="4">
        <f t="shared" ca="1" si="8"/>
        <v>1</v>
      </c>
      <c r="P21" s="4">
        <f t="shared" ca="1" si="9"/>
        <v>1</v>
      </c>
      <c r="Q21" s="4">
        <f t="shared" ca="1" si="10"/>
        <v>0</v>
      </c>
      <c r="R21" s="4">
        <f t="shared" ca="1" si="11"/>
        <v>0</v>
      </c>
      <c r="S21" s="4"/>
    </row>
    <row r="22" spans="2:19" ht="15.75" customHeight="1">
      <c r="B22" s="19" t="str">
        <f>종합!BS4</f>
        <v>Qwen3 32</v>
      </c>
      <c r="C22" s="19">
        <f>종합!BS5</f>
        <v>32</v>
      </c>
      <c r="D22" s="20" t="str">
        <f>종합!BS6</f>
        <v>OpenRouter</v>
      </c>
      <c r="E22" s="20" t="str">
        <f>종합!BS7</f>
        <v>R</v>
      </c>
      <c r="F22" s="21">
        <f ca="1">종합!BS21</f>
        <v>0.83333333333333304</v>
      </c>
      <c r="G22" s="4">
        <f t="shared" ca="1" si="0"/>
        <v>1</v>
      </c>
      <c r="H22" s="4">
        <f t="shared" ca="1" si="1"/>
        <v>1</v>
      </c>
      <c r="I22" s="4">
        <f t="shared" ca="1" si="2"/>
        <v>1</v>
      </c>
      <c r="J22" s="4">
        <f t="shared" ca="1" si="3"/>
        <v>1</v>
      </c>
      <c r="K22" s="4">
        <f t="shared" ca="1" si="4"/>
        <v>1</v>
      </c>
      <c r="L22" s="4">
        <f t="shared" ca="1" si="5"/>
        <v>1</v>
      </c>
      <c r="M22" s="4">
        <f t="shared" ca="1" si="6"/>
        <v>1</v>
      </c>
      <c r="N22" s="4">
        <f t="shared" ca="1" si="7"/>
        <v>1</v>
      </c>
      <c r="O22" s="4">
        <f t="shared" ca="1" si="8"/>
        <v>1</v>
      </c>
      <c r="P22" s="4">
        <f t="shared" ca="1" si="9"/>
        <v>1</v>
      </c>
      <c r="Q22" s="4">
        <f t="shared" ca="1" si="10"/>
        <v>0</v>
      </c>
      <c r="R22" s="4">
        <f t="shared" ca="1" si="11"/>
        <v>0</v>
      </c>
      <c r="S22" s="19" t="str">
        <f>종합!BS8</f>
        <v>2025.4.30</v>
      </c>
    </row>
    <row r="23" spans="2:19" ht="15.75" customHeight="1">
      <c r="B23" s="19" t="str">
        <f>종합!BT4</f>
        <v>Qwen3 14</v>
      </c>
      <c r="C23" s="19">
        <f>종합!BT5</f>
        <v>14</v>
      </c>
      <c r="D23" s="20" t="str">
        <f>종합!BT6</f>
        <v>OpenRouter</v>
      </c>
      <c r="E23" s="20" t="str">
        <f>종합!BT7</f>
        <v>R</v>
      </c>
      <c r="F23" s="21">
        <f ca="1">종합!BT21</f>
        <v>0.83333333333333304</v>
      </c>
      <c r="G23" s="4">
        <f t="shared" ca="1" si="0"/>
        <v>1</v>
      </c>
      <c r="H23" s="4">
        <f t="shared" ca="1" si="1"/>
        <v>1</v>
      </c>
      <c r="I23" s="4">
        <f t="shared" ca="1" si="2"/>
        <v>1</v>
      </c>
      <c r="J23" s="4">
        <f t="shared" ca="1" si="3"/>
        <v>1</v>
      </c>
      <c r="K23" s="4">
        <f t="shared" ca="1" si="4"/>
        <v>1</v>
      </c>
      <c r="L23" s="4">
        <f t="shared" ca="1" si="5"/>
        <v>1</v>
      </c>
      <c r="M23" s="4">
        <f t="shared" ca="1" si="6"/>
        <v>1</v>
      </c>
      <c r="N23" s="4">
        <f t="shared" ca="1" si="7"/>
        <v>1</v>
      </c>
      <c r="O23" s="4">
        <f t="shared" ca="1" si="8"/>
        <v>1</v>
      </c>
      <c r="P23" s="4">
        <f t="shared" ca="1" si="9"/>
        <v>1</v>
      </c>
      <c r="Q23" s="4">
        <f t="shared" ca="1" si="10"/>
        <v>0</v>
      </c>
      <c r="R23" s="4">
        <f t="shared" ca="1" si="11"/>
        <v>0</v>
      </c>
      <c r="S23" s="19" t="str">
        <f>종합!BT8</f>
        <v>2025.4.30</v>
      </c>
    </row>
    <row r="24" spans="2:19" ht="15.75" customHeight="1">
      <c r="B24" s="19" t="str">
        <f>종합!BU4</f>
        <v>Qwen3 8</v>
      </c>
      <c r="C24" s="19">
        <f>종합!BU5</f>
        <v>8</v>
      </c>
      <c r="D24" s="20" t="str">
        <f>종합!BU6</f>
        <v>OpenRouter</v>
      </c>
      <c r="E24" s="20" t="str">
        <f>종합!BU7</f>
        <v>R</v>
      </c>
      <c r="F24" s="21">
        <f ca="1">종합!BU21</f>
        <v>0.83333333333333304</v>
      </c>
      <c r="G24" s="4">
        <f t="shared" ca="1" si="0"/>
        <v>1</v>
      </c>
      <c r="H24" s="4">
        <f t="shared" ca="1" si="1"/>
        <v>1</v>
      </c>
      <c r="I24" s="4">
        <f t="shared" ca="1" si="2"/>
        <v>1</v>
      </c>
      <c r="J24" s="4">
        <f t="shared" ca="1" si="3"/>
        <v>1</v>
      </c>
      <c r="K24" s="4">
        <f t="shared" ca="1" si="4"/>
        <v>1</v>
      </c>
      <c r="L24" s="4">
        <f t="shared" ca="1" si="5"/>
        <v>1</v>
      </c>
      <c r="M24" s="4">
        <f t="shared" ca="1" si="6"/>
        <v>1</v>
      </c>
      <c r="N24" s="4">
        <f t="shared" ca="1" si="7"/>
        <v>1</v>
      </c>
      <c r="O24" s="4">
        <f t="shared" ca="1" si="8"/>
        <v>1</v>
      </c>
      <c r="P24" s="4">
        <f t="shared" ca="1" si="9"/>
        <v>1</v>
      </c>
      <c r="Q24" s="4">
        <f t="shared" ca="1" si="10"/>
        <v>0</v>
      </c>
      <c r="R24" s="4">
        <f t="shared" ca="1" si="11"/>
        <v>0</v>
      </c>
      <c r="S24" s="19" t="str">
        <f>종합!BU8</f>
        <v>2025.4.30</v>
      </c>
    </row>
    <row r="25" spans="2:19" ht="15.75" customHeight="1">
      <c r="B25" s="22" t="str">
        <f>종합!Z4</f>
        <v>Qwen2.5Max</v>
      </c>
      <c r="C25" s="22"/>
      <c r="D25" s="23"/>
      <c r="E25" s="23" t="str">
        <f>종합!Z7</f>
        <v>R</v>
      </c>
      <c r="F25" s="24">
        <f ca="1">종합!Z21</f>
        <v>0.83333333333333304</v>
      </c>
      <c r="G25" s="22">
        <f t="shared" ca="1" si="0"/>
        <v>1</v>
      </c>
      <c r="H25" s="22">
        <f t="shared" ca="1" si="1"/>
        <v>1</v>
      </c>
      <c r="I25" s="22">
        <f t="shared" ca="1" si="2"/>
        <v>1</v>
      </c>
      <c r="J25" s="22">
        <f t="shared" ca="1" si="3"/>
        <v>1</v>
      </c>
      <c r="K25" s="22">
        <f t="shared" ca="1" si="4"/>
        <v>1</v>
      </c>
      <c r="L25" s="22">
        <f t="shared" ca="1" si="5"/>
        <v>1</v>
      </c>
      <c r="M25" s="22">
        <f t="shared" ca="1" si="6"/>
        <v>1</v>
      </c>
      <c r="N25" s="22">
        <f t="shared" ca="1" si="7"/>
        <v>1</v>
      </c>
      <c r="O25" s="22">
        <f t="shared" ca="1" si="8"/>
        <v>1</v>
      </c>
      <c r="P25" s="22">
        <f t="shared" ca="1" si="9"/>
        <v>1</v>
      </c>
      <c r="Q25" s="22">
        <f t="shared" ca="1" si="10"/>
        <v>0</v>
      </c>
      <c r="R25" s="22">
        <f t="shared" ca="1" si="11"/>
        <v>0</v>
      </c>
      <c r="S25" s="4"/>
    </row>
    <row r="26" spans="2:19" ht="15.75" customHeight="1">
      <c r="B26" s="4" t="str">
        <f>종합!P4</f>
        <v>kimi 1.5</v>
      </c>
      <c r="C26" s="4"/>
      <c r="D26" s="3"/>
      <c r="E26" s="3" t="str">
        <f>종합!P7</f>
        <v>R</v>
      </c>
      <c r="F26" s="11">
        <f ca="1">종합!P21</f>
        <v>0.83333333333333304</v>
      </c>
      <c r="G26" s="4">
        <f t="shared" ca="1" si="0"/>
        <v>1</v>
      </c>
      <c r="H26" s="4">
        <f t="shared" ca="1" si="1"/>
        <v>1</v>
      </c>
      <c r="I26" s="4">
        <f t="shared" ca="1" si="2"/>
        <v>1</v>
      </c>
      <c r="J26" s="4">
        <f t="shared" ca="1" si="3"/>
        <v>1</v>
      </c>
      <c r="K26" s="4">
        <f t="shared" ca="1" si="4"/>
        <v>1</v>
      </c>
      <c r="L26" s="4">
        <f t="shared" ca="1" si="5"/>
        <v>1</v>
      </c>
      <c r="M26" s="4">
        <f t="shared" ca="1" si="6"/>
        <v>1</v>
      </c>
      <c r="N26" s="4">
        <f t="shared" ca="1" si="7"/>
        <v>1</v>
      </c>
      <c r="O26" s="4">
        <f t="shared" ca="1" si="8"/>
        <v>1</v>
      </c>
      <c r="P26" s="4">
        <f t="shared" ca="1" si="9"/>
        <v>1</v>
      </c>
      <c r="Q26" s="4">
        <f t="shared" ca="1" si="10"/>
        <v>0</v>
      </c>
      <c r="R26" s="4">
        <f t="shared" ca="1" si="11"/>
        <v>0</v>
      </c>
      <c r="S26" s="4"/>
    </row>
    <row r="27" spans="2:19" ht="15.75" customHeight="1">
      <c r="B27" s="22" t="str">
        <f>종합!AN4</f>
        <v>Ernie x1</v>
      </c>
      <c r="C27" s="22"/>
      <c r="D27" s="23"/>
      <c r="E27" s="23" t="str">
        <f>종합!AN7</f>
        <v>R</v>
      </c>
      <c r="F27" s="24">
        <f ca="1">종합!AN21</f>
        <v>0.83333333333333304</v>
      </c>
      <c r="G27" s="22">
        <f t="shared" ca="1" si="0"/>
        <v>1</v>
      </c>
      <c r="H27" s="22">
        <f t="shared" ca="1" si="1"/>
        <v>1</v>
      </c>
      <c r="I27" s="22">
        <f t="shared" ca="1" si="2"/>
        <v>1</v>
      </c>
      <c r="J27" s="22">
        <f t="shared" ca="1" si="3"/>
        <v>1</v>
      </c>
      <c r="K27" s="22">
        <f t="shared" ca="1" si="4"/>
        <v>1</v>
      </c>
      <c r="L27" s="22">
        <f t="shared" ca="1" si="5"/>
        <v>1</v>
      </c>
      <c r="M27" s="22">
        <f t="shared" ca="1" si="6"/>
        <v>1</v>
      </c>
      <c r="N27" s="22">
        <f t="shared" ca="1" si="7"/>
        <v>1</v>
      </c>
      <c r="O27" s="22">
        <f t="shared" ca="1" si="8"/>
        <v>1</v>
      </c>
      <c r="P27" s="22">
        <f t="shared" ca="1" si="9"/>
        <v>1</v>
      </c>
      <c r="Q27" s="22">
        <f t="shared" ca="1" si="10"/>
        <v>0</v>
      </c>
      <c r="R27" s="22">
        <f t="shared" ca="1" si="11"/>
        <v>0</v>
      </c>
      <c r="S27" s="4"/>
    </row>
    <row r="28" spans="2:19" ht="15.75" customHeight="1">
      <c r="B28" s="4" t="str">
        <f>종합!BF4</f>
        <v>o4 mini high</v>
      </c>
      <c r="C28" s="4"/>
      <c r="D28" s="3"/>
      <c r="E28" s="3" t="str">
        <f>종합!BF7</f>
        <v>R</v>
      </c>
      <c r="F28" s="11">
        <f ca="1">종합!BF21</f>
        <v>0.83333333333333304</v>
      </c>
      <c r="G28" s="4">
        <f t="shared" ca="1" si="0"/>
        <v>1</v>
      </c>
      <c r="H28" s="4">
        <f t="shared" ca="1" si="1"/>
        <v>1</v>
      </c>
      <c r="I28" s="4">
        <f t="shared" ca="1" si="2"/>
        <v>1</v>
      </c>
      <c r="J28" s="4">
        <f t="shared" ca="1" si="3"/>
        <v>1</v>
      </c>
      <c r="K28" s="4">
        <f t="shared" ca="1" si="4"/>
        <v>1</v>
      </c>
      <c r="L28" s="4">
        <f t="shared" ca="1" si="5"/>
        <v>1</v>
      </c>
      <c r="M28" s="4">
        <f t="shared" ca="1" si="6"/>
        <v>1</v>
      </c>
      <c r="N28" s="4">
        <f t="shared" ca="1" si="7"/>
        <v>1</v>
      </c>
      <c r="O28" s="4">
        <f t="shared" ca="1" si="8"/>
        <v>1</v>
      </c>
      <c r="P28" s="4">
        <f t="shared" ca="1" si="9"/>
        <v>1</v>
      </c>
      <c r="Q28" s="4">
        <f t="shared" ca="1" si="10"/>
        <v>0</v>
      </c>
      <c r="R28" s="4">
        <f t="shared" ca="1" si="11"/>
        <v>0</v>
      </c>
      <c r="S28" s="4"/>
    </row>
    <row r="29" spans="2:19" ht="15.75" customHeight="1">
      <c r="B29" s="4" t="str">
        <f>종합!AP4</f>
        <v>Deepseekv30324</v>
      </c>
      <c r="C29" s="4"/>
      <c r="D29" s="3" t="str">
        <f>종합!AP6</f>
        <v>OpenRouter</v>
      </c>
      <c r="E29" s="3"/>
      <c r="F29" s="11">
        <f ca="1">종합!AP21</f>
        <v>0.83333333333333304</v>
      </c>
      <c r="G29" s="4">
        <f t="shared" ca="1" si="0"/>
        <v>1</v>
      </c>
      <c r="H29" s="4">
        <f t="shared" ca="1" si="1"/>
        <v>1</v>
      </c>
      <c r="I29" s="4">
        <f t="shared" ca="1" si="2"/>
        <v>1</v>
      </c>
      <c r="J29" s="4">
        <f t="shared" ca="1" si="3"/>
        <v>1</v>
      </c>
      <c r="K29" s="4">
        <f t="shared" ca="1" si="4"/>
        <v>1</v>
      </c>
      <c r="L29" s="4">
        <f t="shared" ca="1" si="5"/>
        <v>1</v>
      </c>
      <c r="M29" s="4">
        <f t="shared" ca="1" si="6"/>
        <v>1</v>
      </c>
      <c r="N29" s="4">
        <f t="shared" ca="1" si="7"/>
        <v>1</v>
      </c>
      <c r="O29" s="4">
        <f t="shared" ca="1" si="8"/>
        <v>1</v>
      </c>
      <c r="P29" s="4">
        <f t="shared" ca="1" si="9"/>
        <v>1</v>
      </c>
      <c r="Q29" s="4">
        <f t="shared" ca="1" si="10"/>
        <v>0</v>
      </c>
      <c r="R29" s="4">
        <f t="shared" ca="1" si="11"/>
        <v>0</v>
      </c>
      <c r="S29" s="4"/>
    </row>
    <row r="30" spans="2:19" ht="15.75" customHeight="1">
      <c r="B30" s="16" t="str">
        <f>종합!BC4</f>
        <v>GPT 4.1</v>
      </c>
      <c r="C30" s="16"/>
      <c r="D30" s="17" t="str">
        <f>종합!BC6</f>
        <v>Playground</v>
      </c>
      <c r="E30" s="17"/>
      <c r="F30" s="18">
        <f ca="1">종합!BC21</f>
        <v>0.83333333333333304</v>
      </c>
      <c r="G30" s="16">
        <f t="shared" ca="1" si="0"/>
        <v>1</v>
      </c>
      <c r="H30" s="16">
        <f t="shared" ca="1" si="1"/>
        <v>1</v>
      </c>
      <c r="I30" s="16">
        <f t="shared" ca="1" si="2"/>
        <v>1</v>
      </c>
      <c r="J30" s="16">
        <f t="shared" ca="1" si="3"/>
        <v>1</v>
      </c>
      <c r="K30" s="16">
        <f t="shared" ca="1" si="4"/>
        <v>1</v>
      </c>
      <c r="L30" s="16">
        <f t="shared" ca="1" si="5"/>
        <v>1</v>
      </c>
      <c r="M30" s="16">
        <f t="shared" ca="1" si="6"/>
        <v>1</v>
      </c>
      <c r="N30" s="16">
        <f t="shared" ca="1" si="7"/>
        <v>1</v>
      </c>
      <c r="O30" s="16">
        <f t="shared" ca="1" si="8"/>
        <v>1</v>
      </c>
      <c r="P30" s="16">
        <f t="shared" ca="1" si="9"/>
        <v>1</v>
      </c>
      <c r="Q30" s="16">
        <f t="shared" ca="1" si="10"/>
        <v>0</v>
      </c>
      <c r="R30" s="16">
        <f t="shared" ca="1" si="11"/>
        <v>0</v>
      </c>
      <c r="S30" s="4"/>
    </row>
    <row r="31" spans="2:19" ht="15.75" customHeight="1">
      <c r="B31" s="4" t="str">
        <f>종합!BN4</f>
        <v>Ernie X1 Turbo</v>
      </c>
      <c r="C31" s="4"/>
      <c r="D31" s="3"/>
      <c r="E31" s="3" t="str">
        <f>종합!BN7</f>
        <v>R</v>
      </c>
      <c r="F31" s="11">
        <f ca="1">종합!BN21</f>
        <v>0.83333333333333304</v>
      </c>
      <c r="G31" s="4">
        <f t="shared" ca="1" si="0"/>
        <v>1</v>
      </c>
      <c r="H31" s="4">
        <f t="shared" ca="1" si="1"/>
        <v>1</v>
      </c>
      <c r="I31" s="4">
        <f t="shared" ca="1" si="2"/>
        <v>1</v>
      </c>
      <c r="J31" s="4">
        <f t="shared" ca="1" si="3"/>
        <v>1</v>
      </c>
      <c r="K31" s="4">
        <f t="shared" ca="1" si="4"/>
        <v>1</v>
      </c>
      <c r="L31" s="4">
        <f t="shared" ca="1" si="5"/>
        <v>1</v>
      </c>
      <c r="M31" s="4">
        <f t="shared" ca="1" si="6"/>
        <v>1</v>
      </c>
      <c r="N31" s="4">
        <f t="shared" ca="1" si="7"/>
        <v>1</v>
      </c>
      <c r="O31" s="4">
        <f t="shared" ca="1" si="8"/>
        <v>1</v>
      </c>
      <c r="P31" s="4">
        <f t="shared" ca="1" si="9"/>
        <v>1</v>
      </c>
      <c r="Q31" s="4">
        <f t="shared" ca="1" si="10"/>
        <v>0</v>
      </c>
      <c r="R31" s="4">
        <f t="shared" ca="1" si="11"/>
        <v>0</v>
      </c>
      <c r="S31" s="4" t="str">
        <f>종합!BN8</f>
        <v>2025.4.25</v>
      </c>
    </row>
    <row r="32" spans="2:19" ht="15.75" customHeight="1">
      <c r="B32" s="12" t="str">
        <f>종합!E4</f>
        <v>Qwen 2.5max</v>
      </c>
      <c r="C32" s="12"/>
      <c r="D32" s="13"/>
      <c r="E32" s="13">
        <f>종합!E7</f>
        <v>0</v>
      </c>
      <c r="F32" s="14">
        <f ca="1">종합!E21</f>
        <v>0.8</v>
      </c>
      <c r="G32" s="12">
        <f t="shared" ca="1" si="0"/>
        <v>1</v>
      </c>
      <c r="H32" s="12">
        <f t="shared" ca="1" si="1"/>
        <v>1</v>
      </c>
      <c r="I32" s="12">
        <f t="shared" ca="1" si="2"/>
        <v>1</v>
      </c>
      <c r="J32" s="12">
        <f t="shared" ca="1" si="3"/>
        <v>1</v>
      </c>
      <c r="K32" s="12">
        <f t="shared" ca="1" si="4"/>
        <v>1</v>
      </c>
      <c r="L32" s="12">
        <f t="shared" ca="1" si="5"/>
        <v>1</v>
      </c>
      <c r="M32" s="12">
        <f t="shared" ca="1" si="6"/>
        <v>1</v>
      </c>
      <c r="N32" s="12">
        <f t="shared" ca="1" si="7"/>
        <v>1</v>
      </c>
      <c r="O32" s="12">
        <f t="shared" ca="1" si="8"/>
        <v>1</v>
      </c>
      <c r="P32" s="12">
        <f t="shared" ca="1" si="9"/>
        <v>1</v>
      </c>
      <c r="Q32" s="12">
        <f t="shared" ca="1" si="10"/>
        <v>0</v>
      </c>
      <c r="R32" s="12">
        <f t="shared" ca="1" si="11"/>
        <v>0</v>
      </c>
      <c r="S32" s="4"/>
    </row>
    <row r="33" spans="2:19" ht="15.75" customHeight="1">
      <c r="B33" s="4" t="str">
        <f>종합!G4</f>
        <v>Tulu3</v>
      </c>
      <c r="C33" s="4">
        <f>종합!G5</f>
        <v>405</v>
      </c>
      <c r="D33" s="3">
        <f>종합!G6</f>
        <v>0</v>
      </c>
      <c r="E33" s="3">
        <f>종합!G7</f>
        <v>0</v>
      </c>
      <c r="F33" s="11">
        <f ca="1">종합!G21</f>
        <v>0.75</v>
      </c>
      <c r="G33" s="4">
        <f t="shared" ca="1" si="0"/>
        <v>1</v>
      </c>
      <c r="H33" s="4">
        <f t="shared" ca="1" si="1"/>
        <v>1</v>
      </c>
      <c r="I33" s="4">
        <f t="shared" ca="1" si="2"/>
        <v>1</v>
      </c>
      <c r="J33" s="4">
        <f t="shared" ca="1" si="3"/>
        <v>1</v>
      </c>
      <c r="K33" s="4">
        <f t="shared" ca="1" si="4"/>
        <v>1</v>
      </c>
      <c r="L33" s="4">
        <f t="shared" ca="1" si="5"/>
        <v>1</v>
      </c>
      <c r="M33" s="4">
        <f t="shared" ca="1" si="6"/>
        <v>1</v>
      </c>
      <c r="N33" s="4">
        <f t="shared" ca="1" si="7"/>
        <v>1</v>
      </c>
      <c r="O33" s="4">
        <f t="shared" ca="1" si="8"/>
        <v>1</v>
      </c>
      <c r="P33" s="4">
        <f t="shared" ca="1" si="9"/>
        <v>0</v>
      </c>
      <c r="Q33" s="4">
        <f t="shared" ca="1" si="10"/>
        <v>0</v>
      </c>
      <c r="R33" s="4">
        <f t="shared" ca="1" si="11"/>
        <v>0</v>
      </c>
      <c r="S33" s="4"/>
    </row>
    <row r="34" spans="2:19" ht="15.75" customHeight="1">
      <c r="B34" s="16" t="str">
        <f>종합!AF4</f>
        <v>QwQ-32b</v>
      </c>
      <c r="C34" s="16">
        <f>종합!AF5</f>
        <v>32</v>
      </c>
      <c r="D34" s="17">
        <f>종합!AF6</f>
        <v>0</v>
      </c>
      <c r="E34" s="17" t="str">
        <f>종합!AF7</f>
        <v>R</v>
      </c>
      <c r="F34" s="18">
        <f ca="1">종합!AF21</f>
        <v>0.75</v>
      </c>
      <c r="G34" s="16">
        <f t="shared" ca="1" si="0"/>
        <v>1</v>
      </c>
      <c r="H34" s="16">
        <f t="shared" ca="1" si="1"/>
        <v>1</v>
      </c>
      <c r="I34" s="16">
        <f t="shared" ca="1" si="2"/>
        <v>1</v>
      </c>
      <c r="J34" s="16">
        <f t="shared" ca="1" si="3"/>
        <v>1</v>
      </c>
      <c r="K34" s="16">
        <f t="shared" ca="1" si="4"/>
        <v>1</v>
      </c>
      <c r="L34" s="16">
        <f t="shared" ca="1" si="5"/>
        <v>1</v>
      </c>
      <c r="M34" s="16">
        <f t="shared" ca="1" si="6"/>
        <v>1</v>
      </c>
      <c r="N34" s="16">
        <f t="shared" ca="1" si="7"/>
        <v>1</v>
      </c>
      <c r="O34" s="16">
        <f t="shared" ca="1" si="8"/>
        <v>1</v>
      </c>
      <c r="P34" s="16">
        <f t="shared" ca="1" si="9"/>
        <v>0</v>
      </c>
      <c r="Q34" s="16">
        <f t="shared" ca="1" si="10"/>
        <v>0</v>
      </c>
      <c r="R34" s="16">
        <f t="shared" ca="1" si="11"/>
        <v>0</v>
      </c>
      <c r="S34" s="4"/>
    </row>
    <row r="35" spans="2:19" ht="15.75" customHeight="1">
      <c r="B35" s="4" t="str">
        <f>종합!J4</f>
        <v>gemini2flash</v>
      </c>
      <c r="C35" s="4"/>
      <c r="D35" s="3"/>
      <c r="E35" s="3" t="str">
        <f>종합!J7</f>
        <v>R</v>
      </c>
      <c r="F35" s="11">
        <f ca="1">종합!J21</f>
        <v>0.75</v>
      </c>
      <c r="G35" s="4">
        <f t="shared" ca="1" si="0"/>
        <v>1</v>
      </c>
      <c r="H35" s="4">
        <f t="shared" ca="1" si="1"/>
        <v>1</v>
      </c>
      <c r="I35" s="4">
        <f t="shared" ca="1" si="2"/>
        <v>1</v>
      </c>
      <c r="J35" s="4">
        <f t="shared" ca="1" si="3"/>
        <v>1</v>
      </c>
      <c r="K35" s="4">
        <f t="shared" ca="1" si="4"/>
        <v>1</v>
      </c>
      <c r="L35" s="4">
        <f t="shared" ca="1" si="5"/>
        <v>1</v>
      </c>
      <c r="M35" s="4">
        <f t="shared" ca="1" si="6"/>
        <v>1</v>
      </c>
      <c r="N35" s="4">
        <f t="shared" ca="1" si="7"/>
        <v>1</v>
      </c>
      <c r="O35" s="4">
        <f t="shared" ca="1" si="8"/>
        <v>1</v>
      </c>
      <c r="P35" s="4">
        <f t="shared" ca="1" si="9"/>
        <v>0</v>
      </c>
      <c r="Q35" s="4">
        <f t="shared" ca="1" si="10"/>
        <v>0</v>
      </c>
      <c r="R35" s="4">
        <f t="shared" ca="1" si="11"/>
        <v>0</v>
      </c>
      <c r="S35" s="4"/>
    </row>
    <row r="36" spans="2:19" ht="15.75" customHeight="1">
      <c r="B36" s="4" t="str">
        <f>종합!AO4</f>
        <v>Hunyuan T1</v>
      </c>
      <c r="C36" s="4"/>
      <c r="D36" s="3"/>
      <c r="E36" s="3" t="str">
        <f>종합!AO7</f>
        <v>R</v>
      </c>
      <c r="F36" s="11">
        <f ca="1">종합!AO21</f>
        <v>0.75</v>
      </c>
      <c r="G36" s="4">
        <f t="shared" ca="1" si="0"/>
        <v>1</v>
      </c>
      <c r="H36" s="4">
        <f t="shared" ca="1" si="1"/>
        <v>1</v>
      </c>
      <c r="I36" s="4">
        <f t="shared" ca="1" si="2"/>
        <v>1</v>
      </c>
      <c r="J36" s="4">
        <f t="shared" ca="1" si="3"/>
        <v>1</v>
      </c>
      <c r="K36" s="4">
        <f t="shared" ca="1" si="4"/>
        <v>1</v>
      </c>
      <c r="L36" s="4">
        <f t="shared" ca="1" si="5"/>
        <v>1</v>
      </c>
      <c r="M36" s="4">
        <f t="shared" ca="1" si="6"/>
        <v>1</v>
      </c>
      <c r="N36" s="4">
        <f t="shared" ca="1" si="7"/>
        <v>1</v>
      </c>
      <c r="O36" s="4">
        <f t="shared" ca="1" si="8"/>
        <v>1</v>
      </c>
      <c r="P36" s="4">
        <f t="shared" ca="1" si="9"/>
        <v>0</v>
      </c>
      <c r="Q36" s="4">
        <f t="shared" ca="1" si="10"/>
        <v>0</v>
      </c>
      <c r="R36" s="4">
        <f t="shared" ca="1" si="11"/>
        <v>0</v>
      </c>
      <c r="S36" s="4"/>
    </row>
    <row r="37" spans="2:19" ht="15.75" customHeight="1">
      <c r="B37" s="4" t="str">
        <f>종합!N4</f>
        <v>Mistral</v>
      </c>
      <c r="C37" s="4">
        <f>종합!N5</f>
        <v>0</v>
      </c>
      <c r="D37" s="3" t="str">
        <f>종합!N6</f>
        <v>le chat</v>
      </c>
      <c r="E37" s="3">
        <f>종합!N7</f>
        <v>0</v>
      </c>
      <c r="F37" s="11">
        <f ca="1">종합!N21</f>
        <v>0.75</v>
      </c>
      <c r="G37" s="4">
        <f t="shared" ca="1" si="0"/>
        <v>1</v>
      </c>
      <c r="H37" s="4">
        <f t="shared" ca="1" si="1"/>
        <v>1</v>
      </c>
      <c r="I37" s="4">
        <f t="shared" ca="1" si="2"/>
        <v>1</v>
      </c>
      <c r="J37" s="4">
        <f t="shared" ca="1" si="3"/>
        <v>1</v>
      </c>
      <c r="K37" s="4">
        <f t="shared" ca="1" si="4"/>
        <v>1</v>
      </c>
      <c r="L37" s="4">
        <f t="shared" ca="1" si="5"/>
        <v>1</v>
      </c>
      <c r="M37" s="4">
        <f t="shared" ca="1" si="6"/>
        <v>1</v>
      </c>
      <c r="N37" s="4">
        <f t="shared" ca="1" si="7"/>
        <v>1</v>
      </c>
      <c r="O37" s="4">
        <f t="shared" ca="1" si="8"/>
        <v>1</v>
      </c>
      <c r="P37" s="4">
        <f t="shared" ca="1" si="9"/>
        <v>0</v>
      </c>
      <c r="Q37" s="4">
        <f t="shared" ca="1" si="10"/>
        <v>0</v>
      </c>
      <c r="R37" s="4">
        <f t="shared" ca="1" si="11"/>
        <v>0</v>
      </c>
      <c r="S37" s="4"/>
    </row>
    <row r="38" spans="2:19" ht="15.75" customHeight="1">
      <c r="B38" s="12" t="str">
        <f>종합!AX4</f>
        <v>Optimus Alpha</v>
      </c>
      <c r="C38" s="12"/>
      <c r="D38" s="13" t="str">
        <f>종합!AX6</f>
        <v>OpenRouter</v>
      </c>
      <c r="E38" s="13"/>
      <c r="F38" s="14">
        <f ca="1">종합!AX21</f>
        <v>0.75</v>
      </c>
      <c r="G38" s="12">
        <f t="shared" ca="1" si="0"/>
        <v>1</v>
      </c>
      <c r="H38" s="12">
        <f t="shared" ca="1" si="1"/>
        <v>1</v>
      </c>
      <c r="I38" s="12">
        <f t="shared" ca="1" si="2"/>
        <v>1</v>
      </c>
      <c r="J38" s="12">
        <f t="shared" ca="1" si="3"/>
        <v>1</v>
      </c>
      <c r="K38" s="12">
        <f t="shared" ca="1" si="4"/>
        <v>1</v>
      </c>
      <c r="L38" s="12">
        <f t="shared" ca="1" si="5"/>
        <v>1</v>
      </c>
      <c r="M38" s="12">
        <f t="shared" ca="1" si="6"/>
        <v>1</v>
      </c>
      <c r="N38" s="12">
        <f t="shared" ca="1" si="7"/>
        <v>1</v>
      </c>
      <c r="O38" s="12">
        <f t="shared" ca="1" si="8"/>
        <v>1</v>
      </c>
      <c r="P38" s="12">
        <f t="shared" ca="1" si="9"/>
        <v>0</v>
      </c>
      <c r="Q38" s="12">
        <f t="shared" ca="1" si="10"/>
        <v>0</v>
      </c>
      <c r="R38" s="12">
        <f t="shared" ca="1" si="11"/>
        <v>0</v>
      </c>
      <c r="S38" s="4"/>
    </row>
    <row r="39" spans="2:19" ht="15.75" customHeight="1">
      <c r="B39" s="4" t="str">
        <f>종합!AH4</f>
        <v>Gemma3</v>
      </c>
      <c r="C39" s="4">
        <f>종합!AH5</f>
        <v>27</v>
      </c>
      <c r="D39" s="3" t="str">
        <f>종합!AH6</f>
        <v>AIstudio</v>
      </c>
      <c r="E39" s="3"/>
      <c r="F39" s="11">
        <f ca="1">종합!AH21</f>
        <v>0.66666666666666596</v>
      </c>
      <c r="G39" s="4">
        <f t="shared" ca="1" si="0"/>
        <v>1</v>
      </c>
      <c r="H39" s="4">
        <f t="shared" ca="1" si="1"/>
        <v>1</v>
      </c>
      <c r="I39" s="4">
        <f t="shared" ca="1" si="2"/>
        <v>1</v>
      </c>
      <c r="J39" s="4">
        <f t="shared" ca="1" si="3"/>
        <v>1</v>
      </c>
      <c r="K39" s="4">
        <f t="shared" ca="1" si="4"/>
        <v>1</v>
      </c>
      <c r="L39" s="4">
        <f t="shared" ca="1" si="5"/>
        <v>1</v>
      </c>
      <c r="M39" s="4">
        <f t="shared" ca="1" si="6"/>
        <v>1</v>
      </c>
      <c r="N39" s="4">
        <f t="shared" ca="1" si="7"/>
        <v>1</v>
      </c>
      <c r="O39" s="4">
        <f t="shared" ca="1" si="8"/>
        <v>0</v>
      </c>
      <c r="P39" s="4">
        <f t="shared" ca="1" si="9"/>
        <v>0</v>
      </c>
      <c r="Q39" s="4">
        <f t="shared" ca="1" si="10"/>
        <v>0</v>
      </c>
      <c r="R39" s="4">
        <f t="shared" ca="1" si="11"/>
        <v>0</v>
      </c>
      <c r="S39" s="4"/>
    </row>
    <row r="40" spans="2:19" ht="15.75" customHeight="1">
      <c r="B40" s="4" t="str">
        <f>종합!BP4</f>
        <v>DeepCoder</v>
      </c>
      <c r="C40" s="4">
        <f>종합!BP5</f>
        <v>14</v>
      </c>
      <c r="D40" s="3" t="str">
        <f>종합!BP6</f>
        <v>OpenRouter</v>
      </c>
      <c r="E40" s="3" t="str">
        <f>종합!BP7</f>
        <v>R</v>
      </c>
      <c r="F40" s="11">
        <f ca="1">종합!BP21</f>
        <v>0.66666666666666596</v>
      </c>
      <c r="G40" s="4">
        <f t="shared" ca="1" si="0"/>
        <v>1</v>
      </c>
      <c r="H40" s="4">
        <f t="shared" ca="1" si="1"/>
        <v>1</v>
      </c>
      <c r="I40" s="4">
        <f t="shared" ca="1" si="2"/>
        <v>1</v>
      </c>
      <c r="J40" s="4">
        <f t="shared" ca="1" si="3"/>
        <v>1</v>
      </c>
      <c r="K40" s="4">
        <f t="shared" ca="1" si="4"/>
        <v>1</v>
      </c>
      <c r="L40" s="4">
        <f t="shared" ca="1" si="5"/>
        <v>1</v>
      </c>
      <c r="M40" s="4">
        <f t="shared" ca="1" si="6"/>
        <v>1</v>
      </c>
      <c r="N40" s="4">
        <f t="shared" ca="1" si="7"/>
        <v>1</v>
      </c>
      <c r="O40" s="4">
        <f t="shared" ca="1" si="8"/>
        <v>0</v>
      </c>
      <c r="P40" s="4">
        <f t="shared" ca="1" si="9"/>
        <v>0</v>
      </c>
      <c r="Q40" s="4">
        <f t="shared" ca="1" si="10"/>
        <v>0</v>
      </c>
      <c r="R40" s="4">
        <f t="shared" ca="1" si="11"/>
        <v>0</v>
      </c>
      <c r="S40" s="4" t="str">
        <f>종합!BP8</f>
        <v>2025.4.27</v>
      </c>
    </row>
    <row r="41" spans="2:19" ht="15.75" customHeight="1">
      <c r="B41" s="4" t="str">
        <f>종합!AW4</f>
        <v>Zyphra ZR1</v>
      </c>
      <c r="C41" s="4">
        <f>종합!AW5</f>
        <v>1.5</v>
      </c>
      <c r="D41" s="3" t="str">
        <f>종합!AW6</f>
        <v>LMStudio</v>
      </c>
      <c r="E41" s="3" t="str">
        <f>종합!AW7</f>
        <v>R</v>
      </c>
      <c r="F41" s="11">
        <f ca="1">종합!AW21</f>
        <v>0.66666666666666596</v>
      </c>
      <c r="G41" s="4">
        <f t="shared" ca="1" si="0"/>
        <v>1</v>
      </c>
      <c r="H41" s="4">
        <f t="shared" ca="1" si="1"/>
        <v>1</v>
      </c>
      <c r="I41" s="4">
        <f t="shared" ca="1" si="2"/>
        <v>1</v>
      </c>
      <c r="J41" s="4">
        <f t="shared" ca="1" si="3"/>
        <v>1</v>
      </c>
      <c r="K41" s="4">
        <f t="shared" ca="1" si="4"/>
        <v>1</v>
      </c>
      <c r="L41" s="4">
        <f t="shared" ca="1" si="5"/>
        <v>1</v>
      </c>
      <c r="M41" s="4">
        <f t="shared" ca="1" si="6"/>
        <v>1</v>
      </c>
      <c r="N41" s="4">
        <f t="shared" ca="1" si="7"/>
        <v>1</v>
      </c>
      <c r="O41" s="4">
        <f t="shared" ca="1" si="8"/>
        <v>0</v>
      </c>
      <c r="P41" s="4">
        <f t="shared" ca="1" si="9"/>
        <v>0</v>
      </c>
      <c r="Q41" s="4">
        <f t="shared" ca="1" si="10"/>
        <v>0</v>
      </c>
      <c r="R41" s="4">
        <f t="shared" ca="1" si="11"/>
        <v>0</v>
      </c>
      <c r="S41" s="4"/>
    </row>
    <row r="42" spans="2:19" ht="15.75" customHeight="1">
      <c r="B42" s="12" t="str">
        <f>종합!AW4</f>
        <v>Zyphra ZR1</v>
      </c>
      <c r="C42" s="12">
        <f>종합!AW5</f>
        <v>1.5</v>
      </c>
      <c r="D42" s="13" t="str">
        <f>종합!AW6</f>
        <v>LMStudio</v>
      </c>
      <c r="E42" s="13"/>
      <c r="F42" s="14">
        <f ca="1">종합!AW21</f>
        <v>0.66666666666666596</v>
      </c>
      <c r="G42" s="12">
        <f t="shared" ca="1" si="0"/>
        <v>1</v>
      </c>
      <c r="H42" s="12">
        <f t="shared" ca="1" si="1"/>
        <v>1</v>
      </c>
      <c r="I42" s="12">
        <f t="shared" ca="1" si="2"/>
        <v>1</v>
      </c>
      <c r="J42" s="12">
        <f t="shared" ca="1" si="3"/>
        <v>1</v>
      </c>
      <c r="K42" s="12">
        <f t="shared" ca="1" si="4"/>
        <v>1</v>
      </c>
      <c r="L42" s="12">
        <f t="shared" ca="1" si="5"/>
        <v>1</v>
      </c>
      <c r="M42" s="12">
        <f t="shared" ca="1" si="6"/>
        <v>1</v>
      </c>
      <c r="N42" s="12">
        <f t="shared" ca="1" si="7"/>
        <v>1</v>
      </c>
      <c r="O42" s="12">
        <f t="shared" ca="1" si="8"/>
        <v>0</v>
      </c>
      <c r="P42" s="12">
        <f t="shared" ca="1" si="9"/>
        <v>0</v>
      </c>
      <c r="Q42" s="12">
        <f t="shared" ca="1" si="10"/>
        <v>0</v>
      </c>
      <c r="R42" s="12">
        <f t="shared" ca="1" si="11"/>
        <v>0</v>
      </c>
      <c r="S42" s="4"/>
    </row>
    <row r="43" spans="2:19" ht="15.75" customHeight="1">
      <c r="B43" s="4" t="str">
        <f>종합!O4</f>
        <v>kimi 1.5</v>
      </c>
      <c r="C43" s="4"/>
      <c r="D43" s="3"/>
      <c r="E43" s="3">
        <f>종합!O7</f>
        <v>0</v>
      </c>
      <c r="F43" s="11">
        <f ca="1">종합!O21</f>
        <v>0.66666666666666596</v>
      </c>
      <c r="G43" s="4">
        <f t="shared" ca="1" si="0"/>
        <v>1</v>
      </c>
      <c r="H43" s="4">
        <f t="shared" ca="1" si="1"/>
        <v>1</v>
      </c>
      <c r="I43" s="4">
        <f t="shared" ca="1" si="2"/>
        <v>1</v>
      </c>
      <c r="J43" s="4">
        <f t="shared" ca="1" si="3"/>
        <v>1</v>
      </c>
      <c r="K43" s="4">
        <f t="shared" ca="1" si="4"/>
        <v>1</v>
      </c>
      <c r="L43" s="4">
        <f t="shared" ca="1" si="5"/>
        <v>1</v>
      </c>
      <c r="M43" s="4">
        <f t="shared" ca="1" si="6"/>
        <v>1</v>
      </c>
      <c r="N43" s="4">
        <f t="shared" ca="1" si="7"/>
        <v>1</v>
      </c>
      <c r="O43" s="4">
        <f t="shared" ca="1" si="8"/>
        <v>0</v>
      </c>
      <c r="P43" s="4">
        <f t="shared" ca="1" si="9"/>
        <v>0</v>
      </c>
      <c r="Q43" s="4">
        <f t="shared" ca="1" si="10"/>
        <v>0</v>
      </c>
      <c r="R43" s="4">
        <f t="shared" ca="1" si="11"/>
        <v>0</v>
      </c>
      <c r="S43" s="4"/>
    </row>
    <row r="44" spans="2:19" ht="15.75" customHeight="1">
      <c r="B44" s="4" t="str">
        <f>종합!BO4</f>
        <v>Ernie 4.5 Turbo</v>
      </c>
      <c r="C44" s="4"/>
      <c r="D44" s="3"/>
      <c r="E44" s="3"/>
      <c r="F44" s="11">
        <f ca="1">종합!BO21</f>
        <v>0.66666666666666596</v>
      </c>
      <c r="G44" s="4">
        <f t="shared" ca="1" si="0"/>
        <v>1</v>
      </c>
      <c r="H44" s="4">
        <f t="shared" ca="1" si="1"/>
        <v>1</v>
      </c>
      <c r="I44" s="4">
        <f t="shared" ca="1" si="2"/>
        <v>1</v>
      </c>
      <c r="J44" s="4">
        <f t="shared" ca="1" si="3"/>
        <v>1</v>
      </c>
      <c r="K44" s="4">
        <f t="shared" ca="1" si="4"/>
        <v>1</v>
      </c>
      <c r="L44" s="4">
        <f t="shared" ca="1" si="5"/>
        <v>1</v>
      </c>
      <c r="M44" s="4">
        <f t="shared" ca="1" si="6"/>
        <v>1</v>
      </c>
      <c r="N44" s="4">
        <f t="shared" ca="1" si="7"/>
        <v>1</v>
      </c>
      <c r="O44" s="4">
        <f t="shared" ca="1" si="8"/>
        <v>0</v>
      </c>
      <c r="P44" s="4">
        <f t="shared" ca="1" si="9"/>
        <v>0</v>
      </c>
      <c r="Q44" s="4">
        <f t="shared" ca="1" si="10"/>
        <v>0</v>
      </c>
      <c r="R44" s="4">
        <f t="shared" ca="1" si="11"/>
        <v>0</v>
      </c>
      <c r="S44" s="4" t="str">
        <f>종합!BO8</f>
        <v>2025.4.25</v>
      </c>
    </row>
    <row r="45" spans="2:19" ht="15.75" customHeight="1">
      <c r="B45" s="4" t="str">
        <f>종합!AR4</f>
        <v>Llama4 scout</v>
      </c>
      <c r="C45" s="4">
        <f>종합!AR5</f>
        <v>109</v>
      </c>
      <c r="D45" s="3" t="str">
        <f>종합!AR6</f>
        <v>Groq</v>
      </c>
      <c r="E45" s="3"/>
      <c r="F45" s="11">
        <f ca="1">종합!AR21</f>
        <v>0.58333333333333304</v>
      </c>
      <c r="G45" s="4">
        <f t="shared" ca="1" si="0"/>
        <v>1</v>
      </c>
      <c r="H45" s="4">
        <f t="shared" ca="1" si="1"/>
        <v>1</v>
      </c>
      <c r="I45" s="4">
        <f t="shared" ca="1" si="2"/>
        <v>1</v>
      </c>
      <c r="J45" s="4">
        <f t="shared" ca="1" si="3"/>
        <v>1</v>
      </c>
      <c r="K45" s="4">
        <f t="shared" ca="1" si="4"/>
        <v>1</v>
      </c>
      <c r="L45" s="4">
        <f t="shared" ca="1" si="5"/>
        <v>1</v>
      </c>
      <c r="M45" s="4">
        <f t="shared" ca="1" si="6"/>
        <v>1</v>
      </c>
      <c r="N45" s="4">
        <f t="shared" ca="1" si="7"/>
        <v>0</v>
      </c>
      <c r="O45" s="4">
        <f t="shared" ca="1" si="8"/>
        <v>0</v>
      </c>
      <c r="P45" s="4">
        <f t="shared" ca="1" si="9"/>
        <v>0</v>
      </c>
      <c r="Q45" s="4">
        <f t="shared" ca="1" si="10"/>
        <v>0</v>
      </c>
      <c r="R45" s="4">
        <f t="shared" ca="1" si="11"/>
        <v>0</v>
      </c>
      <c r="S45" s="4"/>
    </row>
    <row r="46" spans="2:19" ht="15.75" customHeight="1">
      <c r="B46" s="16" t="str">
        <f>종합!AG4</f>
        <v>Phi4</v>
      </c>
      <c r="C46" s="16">
        <f>종합!AG5</f>
        <v>14</v>
      </c>
      <c r="D46" s="17" t="str">
        <f>종합!AG6</f>
        <v>github</v>
      </c>
      <c r="E46" s="17"/>
      <c r="F46" s="18">
        <f ca="1">종합!AG21</f>
        <v>0.58333333333333304</v>
      </c>
      <c r="G46" s="16">
        <f t="shared" ca="1" si="0"/>
        <v>1</v>
      </c>
      <c r="H46" s="16">
        <f t="shared" ca="1" si="1"/>
        <v>1</v>
      </c>
      <c r="I46" s="16">
        <f t="shared" ca="1" si="2"/>
        <v>1</v>
      </c>
      <c r="J46" s="16">
        <f t="shared" ca="1" si="3"/>
        <v>1</v>
      </c>
      <c r="K46" s="16">
        <f t="shared" ca="1" si="4"/>
        <v>1</v>
      </c>
      <c r="L46" s="16">
        <f t="shared" ca="1" si="5"/>
        <v>1</v>
      </c>
      <c r="M46" s="16">
        <f t="shared" ca="1" si="6"/>
        <v>1</v>
      </c>
      <c r="N46" s="16">
        <f t="shared" ca="1" si="7"/>
        <v>0</v>
      </c>
      <c r="O46" s="16">
        <f t="shared" ca="1" si="8"/>
        <v>0</v>
      </c>
      <c r="P46" s="16">
        <f t="shared" ca="1" si="9"/>
        <v>0</v>
      </c>
      <c r="Q46" s="16">
        <f t="shared" ca="1" si="10"/>
        <v>0</v>
      </c>
      <c r="R46" s="16">
        <f t="shared" ca="1" si="11"/>
        <v>0</v>
      </c>
      <c r="S46" s="4"/>
    </row>
    <row r="47" spans="2:19" ht="15.75" customHeight="1">
      <c r="B47" s="4" t="str">
        <f>종합!H4</f>
        <v>deepseekr1</v>
      </c>
      <c r="C47" s="4">
        <f>종합!H5</f>
        <v>8</v>
      </c>
      <c r="D47" s="3" t="str">
        <f>종합!H6</f>
        <v>Lmstudio</v>
      </c>
      <c r="E47" s="3" t="str">
        <f>종합!H7</f>
        <v>R</v>
      </c>
      <c r="F47" s="11">
        <f ca="1">종합!H21</f>
        <v>0.58333333333333304</v>
      </c>
      <c r="G47" s="4">
        <f t="shared" ca="1" si="0"/>
        <v>1</v>
      </c>
      <c r="H47" s="4">
        <f t="shared" ca="1" si="1"/>
        <v>1</v>
      </c>
      <c r="I47" s="4">
        <f t="shared" ca="1" si="2"/>
        <v>1</v>
      </c>
      <c r="J47" s="4">
        <f t="shared" ca="1" si="3"/>
        <v>1</v>
      </c>
      <c r="K47" s="4">
        <f t="shared" ca="1" si="4"/>
        <v>1</v>
      </c>
      <c r="L47" s="4">
        <f t="shared" ca="1" si="5"/>
        <v>1</v>
      </c>
      <c r="M47" s="4">
        <f t="shared" ca="1" si="6"/>
        <v>1</v>
      </c>
      <c r="N47" s="4">
        <f t="shared" ca="1" si="7"/>
        <v>0</v>
      </c>
      <c r="O47" s="4">
        <f t="shared" ca="1" si="8"/>
        <v>0</v>
      </c>
      <c r="P47" s="4">
        <f t="shared" ca="1" si="9"/>
        <v>0</v>
      </c>
      <c r="Q47" s="4">
        <f t="shared" ca="1" si="10"/>
        <v>0</v>
      </c>
      <c r="R47" s="4">
        <f t="shared" ca="1" si="11"/>
        <v>0</v>
      </c>
      <c r="S47" s="4"/>
    </row>
    <row r="48" spans="2:19" ht="15.75" customHeight="1">
      <c r="B48" s="4" t="str">
        <f>종합!AL4</f>
        <v>Command A</v>
      </c>
      <c r="C48" s="4">
        <f>종합!AL5</f>
        <v>111</v>
      </c>
      <c r="D48" s="3">
        <f>종합!AL6</f>
        <v>0</v>
      </c>
      <c r="E48" s="3"/>
      <c r="F48" s="11">
        <f ca="1">종합!AL21</f>
        <v>0.5</v>
      </c>
      <c r="G48" s="4">
        <f t="shared" ca="1" si="0"/>
        <v>1</v>
      </c>
      <c r="H48" s="4">
        <f t="shared" ca="1" si="1"/>
        <v>1</v>
      </c>
      <c r="I48" s="4">
        <f t="shared" ca="1" si="2"/>
        <v>1</v>
      </c>
      <c r="J48" s="4">
        <f t="shared" ca="1" si="3"/>
        <v>1</v>
      </c>
      <c r="K48" s="4">
        <f t="shared" ca="1" si="4"/>
        <v>1</v>
      </c>
      <c r="L48" s="4">
        <f t="shared" ca="1" si="5"/>
        <v>1</v>
      </c>
      <c r="M48" s="4">
        <f t="shared" ca="1" si="6"/>
        <v>0</v>
      </c>
      <c r="N48" s="4">
        <f t="shared" ca="1" si="7"/>
        <v>0</v>
      </c>
      <c r="O48" s="4">
        <f t="shared" ca="1" si="8"/>
        <v>0</v>
      </c>
      <c r="P48" s="4">
        <f t="shared" ca="1" si="9"/>
        <v>0</v>
      </c>
      <c r="Q48" s="4">
        <f t="shared" ca="1" si="10"/>
        <v>0</v>
      </c>
      <c r="R48" s="4">
        <f t="shared" ca="1" si="11"/>
        <v>0</v>
      </c>
      <c r="S48" s="4"/>
    </row>
    <row r="49" spans="2:19" ht="15.75" customHeight="1">
      <c r="B49" s="4" t="str">
        <f>종합!L4</f>
        <v>llama3.3</v>
      </c>
      <c r="C49" s="4">
        <f>종합!L5</f>
        <v>70</v>
      </c>
      <c r="D49" s="3" t="str">
        <f>종합!L6</f>
        <v>cerebras</v>
      </c>
      <c r="E49" s="3">
        <f>종합!L7</f>
        <v>0</v>
      </c>
      <c r="F49" s="11">
        <f ca="1">종합!L21</f>
        <v>0.5</v>
      </c>
      <c r="G49" s="4">
        <f t="shared" ca="1" si="0"/>
        <v>1</v>
      </c>
      <c r="H49" s="4">
        <f t="shared" ca="1" si="1"/>
        <v>1</v>
      </c>
      <c r="I49" s="4">
        <f t="shared" ca="1" si="2"/>
        <v>1</v>
      </c>
      <c r="J49" s="4">
        <f t="shared" ca="1" si="3"/>
        <v>1</v>
      </c>
      <c r="K49" s="4">
        <f t="shared" ca="1" si="4"/>
        <v>1</v>
      </c>
      <c r="L49" s="4">
        <f t="shared" ca="1" si="5"/>
        <v>1</v>
      </c>
      <c r="M49" s="4">
        <f t="shared" ca="1" si="6"/>
        <v>0</v>
      </c>
      <c r="N49" s="4">
        <f t="shared" ca="1" si="7"/>
        <v>0</v>
      </c>
      <c r="O49" s="4">
        <f t="shared" ca="1" si="8"/>
        <v>0</v>
      </c>
      <c r="P49" s="4">
        <f t="shared" ca="1" si="9"/>
        <v>0</v>
      </c>
      <c r="Q49" s="4">
        <f t="shared" ca="1" si="10"/>
        <v>0</v>
      </c>
      <c r="R49" s="4">
        <f t="shared" ca="1" si="11"/>
        <v>0</v>
      </c>
      <c r="S49" s="4"/>
    </row>
    <row r="50" spans="2:19" ht="15.75" customHeight="1">
      <c r="B50" s="4" t="str">
        <f>종합!AM4</f>
        <v>Reka Flash 3</v>
      </c>
      <c r="C50" s="4">
        <f>종합!AM5</f>
        <v>21</v>
      </c>
      <c r="D50" s="3"/>
      <c r="E50" s="3" t="str">
        <f>종합!AM7</f>
        <v>R</v>
      </c>
      <c r="F50" s="11">
        <f ca="1">종합!AM21</f>
        <v>0.5</v>
      </c>
      <c r="G50" s="4">
        <f t="shared" ca="1" si="0"/>
        <v>1</v>
      </c>
      <c r="H50" s="4">
        <f t="shared" ca="1" si="1"/>
        <v>1</v>
      </c>
      <c r="I50" s="4">
        <f t="shared" ca="1" si="2"/>
        <v>1</v>
      </c>
      <c r="J50" s="4">
        <f t="shared" ca="1" si="3"/>
        <v>1</v>
      </c>
      <c r="K50" s="4">
        <f t="shared" ca="1" si="4"/>
        <v>1</v>
      </c>
      <c r="L50" s="4">
        <f t="shared" ca="1" si="5"/>
        <v>1</v>
      </c>
      <c r="M50" s="4">
        <f t="shared" ca="1" si="6"/>
        <v>0</v>
      </c>
      <c r="N50" s="4">
        <f t="shared" ca="1" si="7"/>
        <v>0</v>
      </c>
      <c r="O50" s="4">
        <f t="shared" ca="1" si="8"/>
        <v>0</v>
      </c>
      <c r="P50" s="4">
        <f t="shared" ca="1" si="9"/>
        <v>0</v>
      </c>
      <c r="Q50" s="4">
        <f t="shared" ca="1" si="10"/>
        <v>0</v>
      </c>
      <c r="R50" s="4">
        <f t="shared" ca="1" si="11"/>
        <v>0</v>
      </c>
      <c r="S50" s="4"/>
    </row>
    <row r="51" spans="2:19" ht="15.75" customHeight="1">
      <c r="B51" s="12" t="str">
        <f>종합!BH4</f>
        <v>Gemma 3 QAT</v>
      </c>
      <c r="C51" s="12">
        <f>종합!BH5</f>
        <v>12</v>
      </c>
      <c r="D51" s="13" t="str">
        <f>종합!BH6</f>
        <v>OpenWebUI</v>
      </c>
      <c r="E51" s="13"/>
      <c r="F51" s="14">
        <f ca="1">종합!BH21</f>
        <v>0.5</v>
      </c>
      <c r="G51" s="12">
        <f t="shared" ca="1" si="0"/>
        <v>1</v>
      </c>
      <c r="H51" s="12">
        <f t="shared" ca="1" si="1"/>
        <v>1</v>
      </c>
      <c r="I51" s="12">
        <f t="shared" ca="1" si="2"/>
        <v>1</v>
      </c>
      <c r="J51" s="12">
        <f t="shared" ca="1" si="3"/>
        <v>1</v>
      </c>
      <c r="K51" s="12">
        <f t="shared" ca="1" si="4"/>
        <v>1</v>
      </c>
      <c r="L51" s="12">
        <f t="shared" ca="1" si="5"/>
        <v>1</v>
      </c>
      <c r="M51" s="12">
        <f t="shared" ca="1" si="6"/>
        <v>0</v>
      </c>
      <c r="N51" s="12">
        <f t="shared" ca="1" si="7"/>
        <v>0</v>
      </c>
      <c r="O51" s="12">
        <f t="shared" ca="1" si="8"/>
        <v>0</v>
      </c>
      <c r="P51" s="12">
        <f t="shared" ca="1" si="9"/>
        <v>0</v>
      </c>
      <c r="Q51" s="12">
        <f t="shared" ca="1" si="10"/>
        <v>0</v>
      </c>
      <c r="R51" s="12">
        <f t="shared" ca="1" si="11"/>
        <v>0</v>
      </c>
      <c r="S51" s="4"/>
    </row>
    <row r="52" spans="2:19" ht="15.75" customHeight="1">
      <c r="B52" s="4" t="str">
        <f>종합!AY4</f>
        <v>Deepcoder</v>
      </c>
      <c r="C52" s="4">
        <f>종합!AY5</f>
        <v>1.5</v>
      </c>
      <c r="D52" s="3" t="str">
        <f>종합!AY6</f>
        <v>LMStudio</v>
      </c>
      <c r="E52" s="3" t="str">
        <f>종합!AY7</f>
        <v>R</v>
      </c>
      <c r="F52" s="11">
        <f ca="1">종합!AY21</f>
        <v>0.5</v>
      </c>
      <c r="G52" s="4">
        <f t="shared" ca="1" si="0"/>
        <v>1</v>
      </c>
      <c r="H52" s="4">
        <f t="shared" ca="1" si="1"/>
        <v>1</v>
      </c>
      <c r="I52" s="4">
        <f t="shared" ca="1" si="2"/>
        <v>1</v>
      </c>
      <c r="J52" s="4">
        <f t="shared" ca="1" si="3"/>
        <v>1</v>
      </c>
      <c r="K52" s="4">
        <f t="shared" ca="1" si="4"/>
        <v>1</v>
      </c>
      <c r="L52" s="4">
        <f t="shared" ca="1" si="5"/>
        <v>1</v>
      </c>
      <c r="M52" s="4">
        <f t="shared" ca="1" si="6"/>
        <v>0</v>
      </c>
      <c r="N52" s="4">
        <f t="shared" ca="1" si="7"/>
        <v>0</v>
      </c>
      <c r="O52" s="4">
        <f t="shared" ca="1" si="8"/>
        <v>0</v>
      </c>
      <c r="P52" s="4">
        <f t="shared" ca="1" si="9"/>
        <v>0</v>
      </c>
      <c r="Q52" s="4">
        <f t="shared" ca="1" si="10"/>
        <v>0</v>
      </c>
      <c r="R52" s="4">
        <f t="shared" ca="1" si="11"/>
        <v>0</v>
      </c>
      <c r="S52" s="4"/>
    </row>
    <row r="53" spans="2:19" ht="15.75" customHeight="1">
      <c r="B53" s="16" t="str">
        <f>종합!M4</f>
        <v>grok 2</v>
      </c>
      <c r="C53" s="16"/>
      <c r="D53" s="17"/>
      <c r="E53" s="17"/>
      <c r="F53" s="18">
        <f ca="1">종합!M21</f>
        <v>0.5</v>
      </c>
      <c r="G53" s="16">
        <f t="shared" ca="1" si="0"/>
        <v>1</v>
      </c>
      <c r="H53" s="16">
        <f t="shared" ca="1" si="1"/>
        <v>1</v>
      </c>
      <c r="I53" s="16">
        <f t="shared" ca="1" si="2"/>
        <v>1</v>
      </c>
      <c r="J53" s="16">
        <f t="shared" ca="1" si="3"/>
        <v>1</v>
      </c>
      <c r="K53" s="16">
        <f t="shared" ca="1" si="4"/>
        <v>1</v>
      </c>
      <c r="L53" s="16">
        <f t="shared" ca="1" si="5"/>
        <v>1</v>
      </c>
      <c r="M53" s="16">
        <f t="shared" ca="1" si="6"/>
        <v>0</v>
      </c>
      <c r="N53" s="16">
        <f t="shared" ca="1" si="7"/>
        <v>0</v>
      </c>
      <c r="O53" s="16">
        <f t="shared" ca="1" si="8"/>
        <v>0</v>
      </c>
      <c r="P53" s="16">
        <f t="shared" ca="1" si="9"/>
        <v>0</v>
      </c>
      <c r="Q53" s="16">
        <f t="shared" ca="1" si="10"/>
        <v>0</v>
      </c>
      <c r="R53" s="16">
        <f t="shared" ca="1" si="11"/>
        <v>0</v>
      </c>
      <c r="S53" s="4"/>
    </row>
    <row r="54" spans="2:19" ht="15.75" customHeight="1">
      <c r="B54" s="4" t="str">
        <f>종합!AD4</f>
        <v>Mercury coder</v>
      </c>
      <c r="C54" s="4"/>
      <c r="D54" s="3"/>
      <c r="E54" s="3"/>
      <c r="F54" s="11">
        <f ca="1">종합!AD21</f>
        <v>0.5</v>
      </c>
      <c r="G54" s="4">
        <f t="shared" ca="1" si="0"/>
        <v>1</v>
      </c>
      <c r="H54" s="4">
        <f t="shared" ca="1" si="1"/>
        <v>1</v>
      </c>
      <c r="I54" s="4">
        <f t="shared" ca="1" si="2"/>
        <v>1</v>
      </c>
      <c r="J54" s="4">
        <f t="shared" ca="1" si="3"/>
        <v>1</v>
      </c>
      <c r="K54" s="4">
        <f t="shared" ca="1" si="4"/>
        <v>1</v>
      </c>
      <c r="L54" s="4">
        <f t="shared" ca="1" si="5"/>
        <v>1</v>
      </c>
      <c r="M54" s="4">
        <f t="shared" ca="1" si="6"/>
        <v>0</v>
      </c>
      <c r="N54" s="4">
        <f t="shared" ca="1" si="7"/>
        <v>0</v>
      </c>
      <c r="O54" s="4">
        <f t="shared" ca="1" si="8"/>
        <v>0</v>
      </c>
      <c r="P54" s="4">
        <f t="shared" ca="1" si="9"/>
        <v>0</v>
      </c>
      <c r="Q54" s="4">
        <f t="shared" ca="1" si="10"/>
        <v>0</v>
      </c>
      <c r="R54" s="4">
        <f t="shared" ca="1" si="11"/>
        <v>0</v>
      </c>
      <c r="S54" s="4"/>
    </row>
    <row r="55" spans="2:19" ht="12.5">
      <c r="B55" s="4" t="str">
        <f>종합!AV4</f>
        <v>Cogito v1</v>
      </c>
      <c r="C55" s="4">
        <f>종합!AV5</f>
        <v>14</v>
      </c>
      <c r="D55" s="3" t="str">
        <f>종합!AV6</f>
        <v>Ollama</v>
      </c>
      <c r="E55" s="3"/>
      <c r="F55" s="11">
        <f ca="1">종합!AV21</f>
        <v>0.41666666666666602</v>
      </c>
      <c r="G55" s="4">
        <f t="shared" ca="1" si="0"/>
        <v>1</v>
      </c>
      <c r="H55" s="4">
        <f t="shared" ca="1" si="1"/>
        <v>1</v>
      </c>
      <c r="I55" s="4">
        <f t="shared" ca="1" si="2"/>
        <v>1</v>
      </c>
      <c r="J55" s="4">
        <f t="shared" ca="1" si="3"/>
        <v>1</v>
      </c>
      <c r="K55" s="4">
        <f t="shared" ca="1" si="4"/>
        <v>1</v>
      </c>
      <c r="L55" s="4">
        <f t="shared" ca="1" si="5"/>
        <v>0</v>
      </c>
      <c r="M55" s="4">
        <f t="shared" ca="1" si="6"/>
        <v>0</v>
      </c>
      <c r="N55" s="4">
        <f t="shared" ca="1" si="7"/>
        <v>0</v>
      </c>
      <c r="O55" s="4">
        <f t="shared" ca="1" si="8"/>
        <v>0</v>
      </c>
      <c r="P55" s="4">
        <f t="shared" ca="1" si="9"/>
        <v>0</v>
      </c>
      <c r="Q55" s="4">
        <f t="shared" ca="1" si="10"/>
        <v>0</v>
      </c>
      <c r="R55" s="4">
        <f t="shared" ca="1" si="11"/>
        <v>0</v>
      </c>
      <c r="S55" s="4"/>
    </row>
    <row r="56" spans="2:19" ht="12.5">
      <c r="B56" s="4" t="str">
        <f>종합!AI4</f>
        <v>Gemma3</v>
      </c>
      <c r="C56" s="4">
        <f>종합!AI5</f>
        <v>12</v>
      </c>
      <c r="D56" s="3" t="str">
        <f>종합!AI6</f>
        <v>OpenWebUI</v>
      </c>
      <c r="E56" s="3"/>
      <c r="F56" s="11">
        <f ca="1">종합!AI21</f>
        <v>0.41666666666666602</v>
      </c>
      <c r="G56" s="4">
        <f t="shared" ca="1" si="0"/>
        <v>1</v>
      </c>
      <c r="H56" s="4">
        <f t="shared" ca="1" si="1"/>
        <v>1</v>
      </c>
      <c r="I56" s="4">
        <f t="shared" ca="1" si="2"/>
        <v>1</v>
      </c>
      <c r="J56" s="4">
        <f t="shared" ca="1" si="3"/>
        <v>1</v>
      </c>
      <c r="K56" s="4">
        <f t="shared" ca="1" si="4"/>
        <v>1</v>
      </c>
      <c r="L56" s="4">
        <f t="shared" ca="1" si="5"/>
        <v>0</v>
      </c>
      <c r="M56" s="4">
        <f t="shared" ca="1" si="6"/>
        <v>0</v>
      </c>
      <c r="N56" s="4">
        <f t="shared" ca="1" si="7"/>
        <v>0</v>
      </c>
      <c r="O56" s="4">
        <f t="shared" ca="1" si="8"/>
        <v>0</v>
      </c>
      <c r="P56" s="4">
        <f t="shared" ca="1" si="9"/>
        <v>0</v>
      </c>
      <c r="Q56" s="4">
        <f t="shared" ca="1" si="10"/>
        <v>0</v>
      </c>
      <c r="R56" s="4">
        <f t="shared" ca="1" si="11"/>
        <v>0</v>
      </c>
      <c r="S56" s="4"/>
    </row>
    <row r="57" spans="2:19" ht="12.5">
      <c r="B57" s="4" t="str">
        <f>종합!R4</f>
        <v>Exaone</v>
      </c>
      <c r="C57" s="4">
        <f>종합!R5</f>
        <v>7.8</v>
      </c>
      <c r="D57" s="3" t="str">
        <f>종합!R6</f>
        <v>H/F</v>
      </c>
      <c r="E57" s="3">
        <f>종합!R7</f>
        <v>0</v>
      </c>
      <c r="F57" s="11">
        <f ca="1">종합!R21</f>
        <v>0.41666666666666602</v>
      </c>
      <c r="G57" s="4">
        <f t="shared" ca="1" si="0"/>
        <v>1</v>
      </c>
      <c r="H57" s="4">
        <f t="shared" ca="1" si="1"/>
        <v>1</v>
      </c>
      <c r="I57" s="4">
        <f t="shared" ca="1" si="2"/>
        <v>1</v>
      </c>
      <c r="J57" s="4">
        <f t="shared" ca="1" si="3"/>
        <v>1</v>
      </c>
      <c r="K57" s="4">
        <f t="shared" ca="1" si="4"/>
        <v>1</v>
      </c>
      <c r="L57" s="4">
        <f t="shared" ca="1" si="5"/>
        <v>0</v>
      </c>
      <c r="M57" s="4">
        <f t="shared" ca="1" si="6"/>
        <v>0</v>
      </c>
      <c r="N57" s="4">
        <f t="shared" ca="1" si="7"/>
        <v>0</v>
      </c>
      <c r="O57" s="4">
        <f t="shared" ca="1" si="8"/>
        <v>0</v>
      </c>
      <c r="P57" s="4">
        <f t="shared" ca="1" si="9"/>
        <v>0</v>
      </c>
      <c r="Q57" s="4">
        <f t="shared" ca="1" si="10"/>
        <v>0</v>
      </c>
      <c r="R57" s="4">
        <f t="shared" ca="1" si="11"/>
        <v>0</v>
      </c>
      <c r="S57" s="4"/>
    </row>
    <row r="58" spans="2:19" ht="12.5">
      <c r="B58" s="4" t="str">
        <f>종합!BA4</f>
        <v>Exaone deep</v>
      </c>
      <c r="C58" s="4">
        <f>종합!BA5</f>
        <v>7.8</v>
      </c>
      <c r="D58" s="3" t="str">
        <f>종합!BA6</f>
        <v>Ollama</v>
      </c>
      <c r="E58" s="3" t="str">
        <f>종합!BA7</f>
        <v>R</v>
      </c>
      <c r="F58" s="11">
        <f ca="1">종합!BA21</f>
        <v>0.41666666666666602</v>
      </c>
      <c r="G58" s="4">
        <f t="shared" ca="1" si="0"/>
        <v>1</v>
      </c>
      <c r="H58" s="4">
        <f t="shared" ca="1" si="1"/>
        <v>1</v>
      </c>
      <c r="I58" s="4">
        <f t="shared" ca="1" si="2"/>
        <v>1</v>
      </c>
      <c r="J58" s="4">
        <f t="shared" ca="1" si="3"/>
        <v>1</v>
      </c>
      <c r="K58" s="4">
        <f t="shared" ca="1" si="4"/>
        <v>1</v>
      </c>
      <c r="L58" s="4">
        <f t="shared" ca="1" si="5"/>
        <v>0</v>
      </c>
      <c r="M58" s="4">
        <f t="shared" ca="1" si="6"/>
        <v>0</v>
      </c>
      <c r="N58" s="4">
        <f t="shared" ca="1" si="7"/>
        <v>0</v>
      </c>
      <c r="O58" s="4">
        <f t="shared" ca="1" si="8"/>
        <v>0</v>
      </c>
      <c r="P58" s="4">
        <f t="shared" ca="1" si="9"/>
        <v>0</v>
      </c>
      <c r="Q58" s="4">
        <f t="shared" ca="1" si="10"/>
        <v>0</v>
      </c>
      <c r="R58" s="4">
        <f t="shared" ca="1" si="11"/>
        <v>0</v>
      </c>
      <c r="S58" s="4"/>
    </row>
    <row r="59" spans="2:19" ht="12.5">
      <c r="B59" s="4" t="str">
        <f>종합!BK4</f>
        <v>BitNet b1.58</v>
      </c>
      <c r="C59" s="4">
        <f>종합!BK5</f>
        <v>2</v>
      </c>
      <c r="D59" s="3" t="str">
        <f>종합!BK6</f>
        <v>WSL</v>
      </c>
      <c r="E59" s="3"/>
      <c r="F59" s="11">
        <f ca="1">종합!BK21</f>
        <v>0.41666666666666602</v>
      </c>
      <c r="G59" s="4">
        <f t="shared" ca="1" si="0"/>
        <v>1</v>
      </c>
      <c r="H59" s="4">
        <f t="shared" ca="1" si="1"/>
        <v>1</v>
      </c>
      <c r="I59" s="4">
        <f t="shared" ca="1" si="2"/>
        <v>1</v>
      </c>
      <c r="J59" s="4">
        <f t="shared" ca="1" si="3"/>
        <v>1</v>
      </c>
      <c r="K59" s="4">
        <f t="shared" ca="1" si="4"/>
        <v>1</v>
      </c>
      <c r="L59" s="4">
        <f t="shared" ca="1" si="5"/>
        <v>0</v>
      </c>
      <c r="M59" s="4">
        <f t="shared" ca="1" si="6"/>
        <v>0</v>
      </c>
      <c r="N59" s="4">
        <f t="shared" ca="1" si="7"/>
        <v>0</v>
      </c>
      <c r="O59" s="4">
        <f t="shared" ca="1" si="8"/>
        <v>0</v>
      </c>
      <c r="P59" s="4">
        <f t="shared" ca="1" si="9"/>
        <v>0</v>
      </c>
      <c r="Q59" s="4">
        <f t="shared" ca="1" si="10"/>
        <v>0</v>
      </c>
      <c r="R59" s="4">
        <f t="shared" ca="1" si="11"/>
        <v>0</v>
      </c>
      <c r="S59" s="4"/>
    </row>
    <row r="60" spans="2:19" ht="12.5">
      <c r="B60" s="4" t="str">
        <f>종합!AB4</f>
        <v>deepseekr1</v>
      </c>
      <c r="C60" s="4">
        <f>종합!AB5</f>
        <v>1.5</v>
      </c>
      <c r="D60" s="3" t="str">
        <f>종합!AB6</f>
        <v>OpenWebUI</v>
      </c>
      <c r="E60" s="3" t="str">
        <f>종합!AB7</f>
        <v>R</v>
      </c>
      <c r="F60" s="11">
        <f ca="1">종합!AB21</f>
        <v>0.41666666666666602</v>
      </c>
      <c r="G60" s="4">
        <f t="shared" ca="1" si="0"/>
        <v>1</v>
      </c>
      <c r="H60" s="4">
        <f t="shared" ca="1" si="1"/>
        <v>1</v>
      </c>
      <c r="I60" s="4">
        <f t="shared" ca="1" si="2"/>
        <v>1</v>
      </c>
      <c r="J60" s="4">
        <f t="shared" ca="1" si="3"/>
        <v>1</v>
      </c>
      <c r="K60" s="4">
        <f t="shared" ca="1" si="4"/>
        <v>1</v>
      </c>
      <c r="L60" s="4">
        <f t="shared" ca="1" si="5"/>
        <v>0</v>
      </c>
      <c r="M60" s="4">
        <f t="shared" ca="1" si="6"/>
        <v>0</v>
      </c>
      <c r="N60" s="4">
        <f t="shared" ca="1" si="7"/>
        <v>0</v>
      </c>
      <c r="O60" s="4">
        <f t="shared" ca="1" si="8"/>
        <v>0</v>
      </c>
      <c r="P60" s="4">
        <f t="shared" ca="1" si="9"/>
        <v>0</v>
      </c>
      <c r="Q60" s="4">
        <f t="shared" ca="1" si="10"/>
        <v>0</v>
      </c>
      <c r="R60" s="4">
        <f t="shared" ca="1" si="11"/>
        <v>0</v>
      </c>
      <c r="S60" s="4"/>
    </row>
    <row r="61" spans="2:19" ht="12.5">
      <c r="B61" s="4" t="str">
        <f>종합!T4</f>
        <v>Luxia 2</v>
      </c>
      <c r="C61" s="4">
        <f>종합!T5</f>
        <v>32</v>
      </c>
      <c r="D61" s="3">
        <f>종합!T6</f>
        <v>0</v>
      </c>
      <c r="E61" s="3"/>
      <c r="F61" s="11">
        <f ca="1">종합!T21</f>
        <v>0.33333333333333298</v>
      </c>
      <c r="G61" s="4">
        <f t="shared" ca="1" si="0"/>
        <v>1</v>
      </c>
      <c r="H61" s="4">
        <f t="shared" ca="1" si="1"/>
        <v>1</v>
      </c>
      <c r="I61" s="4">
        <f t="shared" ca="1" si="2"/>
        <v>1</v>
      </c>
      <c r="J61" s="4">
        <f t="shared" ca="1" si="3"/>
        <v>1</v>
      </c>
      <c r="K61" s="4">
        <f t="shared" ca="1" si="4"/>
        <v>0</v>
      </c>
      <c r="L61" s="4">
        <f t="shared" ca="1" si="5"/>
        <v>0</v>
      </c>
      <c r="M61" s="4">
        <f t="shared" ca="1" si="6"/>
        <v>0</v>
      </c>
      <c r="N61" s="4">
        <f t="shared" ca="1" si="7"/>
        <v>0</v>
      </c>
      <c r="O61" s="4">
        <f t="shared" ca="1" si="8"/>
        <v>0</v>
      </c>
      <c r="P61" s="4">
        <f t="shared" ca="1" si="9"/>
        <v>0</v>
      </c>
      <c r="Q61" s="4">
        <f t="shared" ca="1" si="10"/>
        <v>0</v>
      </c>
      <c r="R61" s="4">
        <f t="shared" ca="1" si="11"/>
        <v>0</v>
      </c>
      <c r="S61" s="4"/>
    </row>
    <row r="62" spans="2:19" ht="12.5">
      <c r="B62" s="4" t="str">
        <f>종합!AE4</f>
        <v>Solar pro</v>
      </c>
      <c r="C62" s="4">
        <f>종합!AE5</f>
        <v>22</v>
      </c>
      <c r="D62" s="3"/>
      <c r="E62" s="3"/>
      <c r="F62" s="11">
        <f ca="1">종합!AE21</f>
        <v>0.33333333333333298</v>
      </c>
      <c r="G62" s="4">
        <f t="shared" ca="1" si="0"/>
        <v>1</v>
      </c>
      <c r="H62" s="4">
        <f t="shared" ca="1" si="1"/>
        <v>1</v>
      </c>
      <c r="I62" s="4">
        <f t="shared" ca="1" si="2"/>
        <v>1</v>
      </c>
      <c r="J62" s="4">
        <f t="shared" ca="1" si="3"/>
        <v>1</v>
      </c>
      <c r="K62" s="4">
        <f t="shared" ca="1" si="4"/>
        <v>0</v>
      </c>
      <c r="L62" s="4">
        <f t="shared" ca="1" si="5"/>
        <v>0</v>
      </c>
      <c r="M62" s="4">
        <f t="shared" ca="1" si="6"/>
        <v>0</v>
      </c>
      <c r="N62" s="4">
        <f t="shared" ca="1" si="7"/>
        <v>0</v>
      </c>
      <c r="O62" s="4">
        <f t="shared" ca="1" si="8"/>
        <v>0</v>
      </c>
      <c r="P62" s="4">
        <f t="shared" ca="1" si="9"/>
        <v>0</v>
      </c>
      <c r="Q62" s="4">
        <f t="shared" ca="1" si="10"/>
        <v>0</v>
      </c>
      <c r="R62" s="4">
        <f t="shared" ca="1" si="11"/>
        <v>0</v>
      </c>
      <c r="S62" s="4"/>
    </row>
    <row r="63" spans="2:19" ht="12.5">
      <c r="B63" s="4" t="str">
        <f>종합!AU4</f>
        <v>Cogito v1</v>
      </c>
      <c r="C63" s="4">
        <f>종합!AU5</f>
        <v>8</v>
      </c>
      <c r="D63" s="3" t="str">
        <f>종합!AU6</f>
        <v>Ollama</v>
      </c>
      <c r="E63" s="3"/>
      <c r="F63" s="11">
        <f ca="1">종합!AU21</f>
        <v>0.33333333333333298</v>
      </c>
      <c r="G63" s="4">
        <f t="shared" ca="1" si="0"/>
        <v>1</v>
      </c>
      <c r="H63" s="4">
        <f t="shared" ca="1" si="1"/>
        <v>1</v>
      </c>
      <c r="I63" s="4">
        <f t="shared" ca="1" si="2"/>
        <v>1</v>
      </c>
      <c r="J63" s="4">
        <f t="shared" ca="1" si="3"/>
        <v>1</v>
      </c>
      <c r="K63" s="4">
        <f t="shared" ca="1" si="4"/>
        <v>0</v>
      </c>
      <c r="L63" s="4">
        <f t="shared" ca="1" si="5"/>
        <v>0</v>
      </c>
      <c r="M63" s="4">
        <f t="shared" ca="1" si="6"/>
        <v>0</v>
      </c>
      <c r="N63" s="4">
        <f t="shared" ca="1" si="7"/>
        <v>0</v>
      </c>
      <c r="O63" s="4">
        <f t="shared" ca="1" si="8"/>
        <v>0</v>
      </c>
      <c r="P63" s="4">
        <f t="shared" ca="1" si="9"/>
        <v>0</v>
      </c>
      <c r="Q63" s="4">
        <f t="shared" ca="1" si="10"/>
        <v>0</v>
      </c>
      <c r="R63" s="4">
        <f t="shared" ca="1" si="11"/>
        <v>0</v>
      </c>
      <c r="S63" s="4"/>
    </row>
    <row r="64" spans="2:19" ht="12.5">
      <c r="B64" s="4" t="str">
        <f>종합!S4</f>
        <v>Exaone</v>
      </c>
      <c r="C64" s="4">
        <f>종합!S5</f>
        <v>7.8</v>
      </c>
      <c r="D64" s="3" t="str">
        <f>종합!S6</f>
        <v>OpenWebUI</v>
      </c>
      <c r="E64" s="3">
        <f>종합!S7</f>
        <v>0</v>
      </c>
      <c r="F64" s="11">
        <f ca="1">종합!S21</f>
        <v>0.33333333333333298</v>
      </c>
      <c r="G64" s="4">
        <f t="shared" ca="1" si="0"/>
        <v>1</v>
      </c>
      <c r="H64" s="4">
        <f t="shared" ca="1" si="1"/>
        <v>1</v>
      </c>
      <c r="I64" s="4">
        <f t="shared" ca="1" si="2"/>
        <v>1</v>
      </c>
      <c r="J64" s="4">
        <f t="shared" ca="1" si="3"/>
        <v>1</v>
      </c>
      <c r="K64" s="4">
        <f t="shared" ca="1" si="4"/>
        <v>0</v>
      </c>
      <c r="L64" s="4">
        <f t="shared" ca="1" si="5"/>
        <v>0</v>
      </c>
      <c r="M64" s="4">
        <f t="shared" ca="1" si="6"/>
        <v>0</v>
      </c>
      <c r="N64" s="4">
        <f t="shared" ca="1" si="7"/>
        <v>0</v>
      </c>
      <c r="O64" s="4">
        <f t="shared" ca="1" si="8"/>
        <v>0</v>
      </c>
      <c r="P64" s="4">
        <f t="shared" ca="1" si="9"/>
        <v>0</v>
      </c>
      <c r="Q64" s="4">
        <f t="shared" ca="1" si="10"/>
        <v>0</v>
      </c>
      <c r="R64" s="4">
        <f t="shared" ca="1" si="11"/>
        <v>0</v>
      </c>
      <c r="S64" s="4"/>
    </row>
    <row r="65" spans="2:19" ht="12.5">
      <c r="B65" s="16" t="str">
        <f>종합!Q4</f>
        <v>clovaX</v>
      </c>
      <c r="C65" s="16"/>
      <c r="D65" s="17"/>
      <c r="E65" s="17"/>
      <c r="F65" s="18">
        <f ca="1">종합!Q21</f>
        <v>0.33333333333333298</v>
      </c>
      <c r="G65" s="16">
        <f t="shared" ca="1" si="0"/>
        <v>1</v>
      </c>
      <c r="H65" s="16">
        <f t="shared" ca="1" si="1"/>
        <v>1</v>
      </c>
      <c r="I65" s="16">
        <f t="shared" ca="1" si="2"/>
        <v>1</v>
      </c>
      <c r="J65" s="16">
        <f t="shared" ca="1" si="3"/>
        <v>1</v>
      </c>
      <c r="K65" s="16">
        <f t="shared" ca="1" si="4"/>
        <v>0</v>
      </c>
      <c r="L65" s="16">
        <f t="shared" ca="1" si="5"/>
        <v>0</v>
      </c>
      <c r="M65" s="16">
        <f t="shared" ca="1" si="6"/>
        <v>0</v>
      </c>
      <c r="N65" s="16">
        <f t="shared" ca="1" si="7"/>
        <v>0</v>
      </c>
      <c r="O65" s="16">
        <f t="shared" ca="1" si="8"/>
        <v>0</v>
      </c>
      <c r="P65" s="16">
        <f t="shared" ca="1" si="9"/>
        <v>0</v>
      </c>
      <c r="Q65" s="16">
        <f t="shared" ca="1" si="10"/>
        <v>0</v>
      </c>
      <c r="R65" s="16">
        <f t="shared" ca="1" si="11"/>
        <v>0</v>
      </c>
      <c r="S65" s="4"/>
    </row>
    <row r="66" spans="2:19" ht="12.5">
      <c r="B66" s="4" t="str">
        <f>종합!AJ4</f>
        <v>Gemma3</v>
      </c>
      <c r="C66" s="4">
        <f>종합!AJ5</f>
        <v>4</v>
      </c>
      <c r="D66" s="3" t="str">
        <f>종합!AJ6</f>
        <v>OpenWebUI</v>
      </c>
      <c r="E66" s="3"/>
      <c r="F66" s="11">
        <f ca="1">종합!AJ21</f>
        <v>0.25</v>
      </c>
      <c r="G66" s="4">
        <f t="shared" ca="1" si="0"/>
        <v>1</v>
      </c>
      <c r="H66" s="4">
        <f t="shared" ca="1" si="1"/>
        <v>1</v>
      </c>
      <c r="I66" s="4">
        <f t="shared" ca="1" si="2"/>
        <v>1</v>
      </c>
      <c r="J66" s="4">
        <f t="shared" ca="1" si="3"/>
        <v>0</v>
      </c>
      <c r="K66" s="4">
        <f t="shared" ca="1" si="4"/>
        <v>0</v>
      </c>
      <c r="L66" s="4">
        <f t="shared" ca="1" si="5"/>
        <v>0</v>
      </c>
      <c r="M66" s="4">
        <f t="shared" ca="1" si="6"/>
        <v>0</v>
      </c>
      <c r="N66" s="4">
        <f t="shared" ca="1" si="7"/>
        <v>0</v>
      </c>
      <c r="O66" s="4">
        <f t="shared" ca="1" si="8"/>
        <v>0</v>
      </c>
      <c r="P66" s="4">
        <f t="shared" ca="1" si="9"/>
        <v>0</v>
      </c>
      <c r="Q66" s="4">
        <f t="shared" ca="1" si="10"/>
        <v>0</v>
      </c>
      <c r="R66" s="4">
        <f t="shared" ca="1" si="11"/>
        <v>0</v>
      </c>
      <c r="S66" s="4"/>
    </row>
    <row r="67" spans="2:19" ht="12.5">
      <c r="B67" s="4" t="str">
        <f>종합!BM4</f>
        <v>ClovaX seed Q8</v>
      </c>
      <c r="C67" s="4">
        <f>종합!BM5</f>
        <v>1.5</v>
      </c>
      <c r="D67" s="3" t="str">
        <f>종합!BM6</f>
        <v>OpenWebUI</v>
      </c>
      <c r="E67" s="3"/>
      <c r="F67" s="11">
        <f ca="1">종합!BM21</f>
        <v>0.25</v>
      </c>
      <c r="G67" s="4">
        <f t="shared" ca="1" si="0"/>
        <v>1</v>
      </c>
      <c r="H67" s="4">
        <f t="shared" ca="1" si="1"/>
        <v>1</v>
      </c>
      <c r="I67" s="4">
        <f t="shared" ca="1" si="2"/>
        <v>1</v>
      </c>
      <c r="J67" s="4">
        <f t="shared" ca="1" si="3"/>
        <v>0</v>
      </c>
      <c r="K67" s="4">
        <f t="shared" ca="1" si="4"/>
        <v>0</v>
      </c>
      <c r="L67" s="4">
        <f t="shared" ca="1" si="5"/>
        <v>0</v>
      </c>
      <c r="M67" s="4">
        <f t="shared" ca="1" si="6"/>
        <v>0</v>
      </c>
      <c r="N67" s="4">
        <f t="shared" ca="1" si="7"/>
        <v>0</v>
      </c>
      <c r="O67" s="4">
        <f t="shared" ca="1" si="8"/>
        <v>0</v>
      </c>
      <c r="P67" s="4">
        <f t="shared" ca="1" si="9"/>
        <v>0</v>
      </c>
      <c r="Q67" s="4">
        <f t="shared" ca="1" si="10"/>
        <v>0</v>
      </c>
      <c r="R67" s="4">
        <f t="shared" ca="1" si="11"/>
        <v>0</v>
      </c>
      <c r="S67" s="4"/>
    </row>
    <row r="68" spans="2:19" ht="12.5">
      <c r="B68" s="4" t="str">
        <f>종합!U4</f>
        <v>Luxia 2</v>
      </c>
      <c r="C68" s="4">
        <f>종합!U5</f>
        <v>8</v>
      </c>
      <c r="D68" s="3">
        <f>종합!U6</f>
        <v>0</v>
      </c>
      <c r="E68" s="3"/>
      <c r="F68" s="11">
        <f ca="1">종합!U21</f>
        <v>0.16666666666666599</v>
      </c>
      <c r="G68" s="4">
        <f t="shared" ca="1" si="0"/>
        <v>1</v>
      </c>
      <c r="H68" s="4">
        <f t="shared" ca="1" si="1"/>
        <v>1</v>
      </c>
      <c r="I68" s="4">
        <f t="shared" ca="1" si="2"/>
        <v>0</v>
      </c>
      <c r="J68" s="4">
        <f t="shared" ca="1" si="3"/>
        <v>0</v>
      </c>
      <c r="K68" s="4">
        <f t="shared" ca="1" si="4"/>
        <v>0</v>
      </c>
      <c r="L68" s="4">
        <f t="shared" ca="1" si="5"/>
        <v>0</v>
      </c>
      <c r="M68" s="4">
        <f t="shared" ca="1" si="6"/>
        <v>0</v>
      </c>
      <c r="N68" s="4">
        <f t="shared" ca="1" si="7"/>
        <v>0</v>
      </c>
      <c r="O68" s="4">
        <f t="shared" ca="1" si="8"/>
        <v>0</v>
      </c>
      <c r="P68" s="4">
        <f t="shared" ca="1" si="9"/>
        <v>0</v>
      </c>
      <c r="Q68" s="4">
        <f t="shared" ca="1" si="10"/>
        <v>0</v>
      </c>
      <c r="R68" s="4">
        <f t="shared" ca="1" si="11"/>
        <v>0</v>
      </c>
      <c r="S68" s="4"/>
    </row>
    <row r="69" spans="2:19" ht="12.5">
      <c r="B69" s="4" t="str">
        <f>종합!AZ4</f>
        <v>Exaone deep</v>
      </c>
      <c r="C69" s="4">
        <f>종합!AZ5</f>
        <v>2.4</v>
      </c>
      <c r="D69" s="3" t="str">
        <f>종합!AZ6</f>
        <v>Ollama</v>
      </c>
      <c r="E69" s="3" t="str">
        <f>종합!AZ7</f>
        <v>R</v>
      </c>
      <c r="F69" s="11">
        <f ca="1">종합!AZ21</f>
        <v>0.16666666666666599</v>
      </c>
      <c r="G69" s="4">
        <f t="shared" ca="1" si="0"/>
        <v>1</v>
      </c>
      <c r="H69" s="4">
        <f t="shared" ca="1" si="1"/>
        <v>1</v>
      </c>
      <c r="I69" s="4">
        <f t="shared" ca="1" si="2"/>
        <v>0</v>
      </c>
      <c r="J69" s="4">
        <f t="shared" ca="1" si="3"/>
        <v>0</v>
      </c>
      <c r="K69" s="4">
        <f t="shared" ca="1" si="4"/>
        <v>0</v>
      </c>
      <c r="L69" s="4">
        <f t="shared" ca="1" si="5"/>
        <v>0</v>
      </c>
      <c r="M69" s="4">
        <f t="shared" ca="1" si="6"/>
        <v>0</v>
      </c>
      <c r="N69" s="4">
        <f t="shared" ca="1" si="7"/>
        <v>0</v>
      </c>
      <c r="O69" s="4">
        <f t="shared" ca="1" si="8"/>
        <v>0</v>
      </c>
      <c r="P69" s="4">
        <f t="shared" ca="1" si="9"/>
        <v>0</v>
      </c>
      <c r="Q69" s="4">
        <f t="shared" ca="1" si="10"/>
        <v>0</v>
      </c>
      <c r="R69" s="4">
        <f t="shared" ca="1" si="11"/>
        <v>0</v>
      </c>
      <c r="S69" s="4"/>
    </row>
    <row r="70" spans="2:19" ht="12.5">
      <c r="B70" s="4" t="str">
        <f>종합!AA4</f>
        <v>kanana</v>
      </c>
      <c r="C70" s="4">
        <f>종합!AA5</f>
        <v>2.1</v>
      </c>
      <c r="D70" s="3" t="str">
        <f>종합!AA6</f>
        <v>OpenWebUI</v>
      </c>
      <c r="E70" s="3"/>
      <c r="F70" s="11">
        <f ca="1">종합!AA21</f>
        <v>0.16666666666666599</v>
      </c>
      <c r="G70" s="4">
        <f t="shared" ca="1" si="0"/>
        <v>1</v>
      </c>
      <c r="H70" s="4">
        <f t="shared" ca="1" si="1"/>
        <v>1</v>
      </c>
      <c r="I70" s="4">
        <f t="shared" ca="1" si="2"/>
        <v>0</v>
      </c>
      <c r="J70" s="4">
        <f t="shared" ca="1" si="3"/>
        <v>0</v>
      </c>
      <c r="K70" s="4">
        <f t="shared" ca="1" si="4"/>
        <v>0</v>
      </c>
      <c r="L70" s="4">
        <f t="shared" ca="1" si="5"/>
        <v>0</v>
      </c>
      <c r="M70" s="4">
        <f t="shared" ca="1" si="6"/>
        <v>0</v>
      </c>
      <c r="N70" s="4">
        <f t="shared" ca="1" si="7"/>
        <v>0</v>
      </c>
      <c r="O70" s="4">
        <f t="shared" ca="1" si="8"/>
        <v>0</v>
      </c>
      <c r="P70" s="4">
        <f t="shared" ca="1" si="9"/>
        <v>0</v>
      </c>
      <c r="Q70" s="4">
        <f t="shared" ca="1" si="10"/>
        <v>0</v>
      </c>
      <c r="R70" s="4">
        <f t="shared" ca="1" si="11"/>
        <v>0</v>
      </c>
      <c r="S70" s="4"/>
    </row>
    <row r="71" spans="2:19" ht="12.5">
      <c r="B71" s="4" t="str">
        <f>종합!BJ4</f>
        <v>BitNet b1.58</v>
      </c>
      <c r="C71" s="4">
        <f>종합!BJ5</f>
        <v>2</v>
      </c>
      <c r="D71" s="3" t="str">
        <f>종합!BJ6</f>
        <v>Azure</v>
      </c>
      <c r="E71" s="3"/>
      <c r="F71" s="11">
        <f ca="1">종합!BJ21</f>
        <v>0.16666666666666599</v>
      </c>
      <c r="G71" s="4">
        <f t="shared" ca="1" si="0"/>
        <v>1</v>
      </c>
      <c r="H71" s="4">
        <f t="shared" ca="1" si="1"/>
        <v>1</v>
      </c>
      <c r="I71" s="4">
        <f t="shared" ca="1" si="2"/>
        <v>0</v>
      </c>
      <c r="J71" s="4">
        <f t="shared" ca="1" si="3"/>
        <v>0</v>
      </c>
      <c r="K71" s="4">
        <f t="shared" ca="1" si="4"/>
        <v>0</v>
      </c>
      <c r="L71" s="4">
        <f t="shared" ca="1" si="5"/>
        <v>0</v>
      </c>
      <c r="M71" s="4">
        <f t="shared" ca="1" si="6"/>
        <v>0</v>
      </c>
      <c r="N71" s="4">
        <f t="shared" ca="1" si="7"/>
        <v>0</v>
      </c>
      <c r="O71" s="4">
        <f t="shared" ca="1" si="8"/>
        <v>0</v>
      </c>
      <c r="P71" s="4">
        <f t="shared" ca="1" si="9"/>
        <v>0</v>
      </c>
      <c r="Q71" s="4">
        <f t="shared" ca="1" si="10"/>
        <v>0</v>
      </c>
      <c r="R71" s="4">
        <f t="shared" ca="1" si="11"/>
        <v>0</v>
      </c>
      <c r="S71" s="4"/>
    </row>
    <row r="72" spans="2:19" ht="12.5">
      <c r="B72" s="4" t="str">
        <f>종합!BL4</f>
        <v>ClovaX seed bf16</v>
      </c>
      <c r="C72" s="4">
        <f>종합!BL5</f>
        <v>1.5</v>
      </c>
      <c r="D72" s="3" t="str">
        <f>종합!BL6</f>
        <v>Jupyter NB</v>
      </c>
      <c r="E72" s="3"/>
      <c r="F72" s="11">
        <f ca="1">종합!BL21</f>
        <v>0.16666666666666599</v>
      </c>
      <c r="G72" s="4">
        <f t="shared" ca="1" si="0"/>
        <v>1</v>
      </c>
      <c r="H72" s="4">
        <f t="shared" ca="1" si="1"/>
        <v>1</v>
      </c>
      <c r="I72" s="4">
        <f t="shared" ca="1" si="2"/>
        <v>0</v>
      </c>
      <c r="J72" s="4">
        <f t="shared" ca="1" si="3"/>
        <v>0</v>
      </c>
      <c r="K72" s="4">
        <f t="shared" ca="1" si="4"/>
        <v>0</v>
      </c>
      <c r="L72" s="4">
        <f t="shared" ca="1" si="5"/>
        <v>0</v>
      </c>
      <c r="M72" s="4">
        <f t="shared" ca="1" si="6"/>
        <v>0</v>
      </c>
      <c r="N72" s="4">
        <f t="shared" ca="1" si="7"/>
        <v>0</v>
      </c>
      <c r="O72" s="4">
        <f t="shared" ca="1" si="8"/>
        <v>0</v>
      </c>
      <c r="P72" s="4">
        <f t="shared" ca="1" si="9"/>
        <v>0</v>
      </c>
      <c r="Q72" s="4">
        <f t="shared" ca="1" si="10"/>
        <v>0</v>
      </c>
      <c r="R72" s="4">
        <f t="shared" ca="1" si="11"/>
        <v>0</v>
      </c>
      <c r="S72" s="4"/>
    </row>
    <row r="73" spans="2:19" ht="12.5">
      <c r="B73" s="4" t="str">
        <f>종합!AK4</f>
        <v>Gemma3</v>
      </c>
      <c r="C73" s="4">
        <f>종합!AK5</f>
        <v>1</v>
      </c>
      <c r="D73" s="3" t="str">
        <f>종합!AK6</f>
        <v>OpenWebUI</v>
      </c>
      <c r="E73" s="3"/>
      <c r="F73" s="11">
        <f ca="1">종합!AK21</f>
        <v>0</v>
      </c>
      <c r="G73" s="4">
        <f t="shared" ca="1" si="0"/>
        <v>0</v>
      </c>
      <c r="H73" s="4">
        <f t="shared" ca="1" si="1"/>
        <v>0</v>
      </c>
      <c r="I73" s="4">
        <f t="shared" ca="1" si="2"/>
        <v>0</v>
      </c>
      <c r="J73" s="4">
        <f t="shared" ca="1" si="3"/>
        <v>0</v>
      </c>
      <c r="K73" s="4">
        <f t="shared" ca="1" si="4"/>
        <v>0</v>
      </c>
      <c r="L73" s="4">
        <f t="shared" ca="1" si="5"/>
        <v>0</v>
      </c>
      <c r="M73" s="4">
        <f t="shared" ca="1" si="6"/>
        <v>0</v>
      </c>
      <c r="N73" s="4">
        <f t="shared" ca="1" si="7"/>
        <v>0</v>
      </c>
      <c r="O73" s="4">
        <f t="shared" ca="1" si="8"/>
        <v>0</v>
      </c>
      <c r="P73" s="4">
        <f t="shared" ca="1" si="9"/>
        <v>0</v>
      </c>
      <c r="Q73" s="4">
        <f t="shared" ca="1" si="10"/>
        <v>0</v>
      </c>
      <c r="R73" s="4">
        <f t="shared" ca="1" si="11"/>
        <v>0</v>
      </c>
      <c r="S73" s="4"/>
    </row>
    <row r="74" spans="2:19" ht="12.5">
      <c r="D74" s="2"/>
      <c r="E74" s="2"/>
      <c r="F74" s="25">
        <f ca="1">SUBTOTAL(101,F3:F70)</f>
        <v>0.67536764705882302</v>
      </c>
    </row>
    <row r="75" spans="2:19" ht="12.5">
      <c r="D75" s="2"/>
      <c r="E75" s="2"/>
    </row>
    <row r="76" spans="2:19" ht="12.5">
      <c r="D76" s="2"/>
      <c r="E76" s="2"/>
    </row>
    <row r="77" spans="2:19" ht="12.5">
      <c r="D77" s="2"/>
      <c r="E77" s="2"/>
    </row>
    <row r="78" spans="2:19" ht="12.5">
      <c r="D78" s="2"/>
      <c r="E78" s="2"/>
    </row>
    <row r="79" spans="2:19" ht="12.5">
      <c r="D79" s="2"/>
      <c r="E79" s="2"/>
    </row>
    <row r="80" spans="2:19" ht="12.5">
      <c r="D80" s="2"/>
      <c r="E80" s="2"/>
    </row>
    <row r="81" spans="2:5" ht="12.5">
      <c r="D81" s="2"/>
      <c r="E81" s="2"/>
    </row>
    <row r="82" spans="2:5" ht="12.5">
      <c r="B82" s="10">
        <f>종합!AD22</f>
        <v>0</v>
      </c>
      <c r="D82" s="2"/>
      <c r="E82" s="2"/>
    </row>
    <row r="83" spans="2:5" ht="12.5">
      <c r="B83" s="10">
        <f>종합!AC23</f>
        <v>0</v>
      </c>
      <c r="D83" s="2"/>
      <c r="E83" s="2"/>
    </row>
    <row r="84" spans="2:5" ht="12.5">
      <c r="B84" s="10">
        <f>종합!AB25</f>
        <v>0</v>
      </c>
      <c r="D84" s="2"/>
      <c r="E84" s="2"/>
    </row>
    <row r="85" spans="2:5" ht="12.5">
      <c r="B85" s="10">
        <f>종합!AB26</f>
        <v>0</v>
      </c>
      <c r="D85" s="2"/>
      <c r="E85" s="2"/>
    </row>
    <row r="86" spans="2:5" ht="12.5">
      <c r="B86" s="10">
        <f>종합!AB27</f>
        <v>0</v>
      </c>
      <c r="D86" s="2"/>
      <c r="E86" s="2"/>
    </row>
    <row r="87" spans="2:5" ht="12.5">
      <c r="B87" s="10">
        <f>종합!AB28</f>
        <v>0</v>
      </c>
      <c r="D87" s="2"/>
      <c r="E87" s="2"/>
    </row>
    <row r="88" spans="2:5" ht="12.5">
      <c r="B88" s="10">
        <f>종합!AB29</f>
        <v>0</v>
      </c>
      <c r="D88" s="2"/>
      <c r="E88" s="2"/>
    </row>
    <row r="89" spans="2:5" ht="12.5">
      <c r="D89" s="2"/>
      <c r="E89" s="2"/>
    </row>
    <row r="90" spans="2:5" ht="12.5">
      <c r="D90" s="2"/>
      <c r="E90" s="2"/>
    </row>
    <row r="91" spans="2:5" ht="12.5">
      <c r="D91" s="2"/>
      <c r="E91" s="2"/>
    </row>
    <row r="92" spans="2:5" ht="12.5">
      <c r="D92" s="2"/>
      <c r="E92" s="2"/>
    </row>
    <row r="93" spans="2:5" ht="12.5">
      <c r="D93" s="2"/>
      <c r="E93" s="2"/>
    </row>
    <row r="94" spans="2:5" ht="12.5">
      <c r="D94" s="2"/>
      <c r="E94" s="2"/>
    </row>
    <row r="95" spans="2:5" ht="12.5">
      <c r="D95" s="2"/>
      <c r="E95" s="2"/>
    </row>
    <row r="96" spans="2:5" ht="12.5">
      <c r="D96" s="2"/>
      <c r="E96" s="2"/>
    </row>
    <row r="97" spans="4:5" ht="12.5">
      <c r="D97" s="2"/>
      <c r="E97" s="2"/>
    </row>
    <row r="98" spans="4:5" ht="12.5">
      <c r="D98" s="2"/>
      <c r="E98" s="2"/>
    </row>
    <row r="99" spans="4:5" ht="12.5">
      <c r="D99" s="2"/>
      <c r="E99" s="2"/>
    </row>
    <row r="100" spans="4:5" ht="12.5">
      <c r="D100" s="2"/>
      <c r="E100" s="2"/>
    </row>
    <row r="101" spans="4:5" ht="12.5">
      <c r="D101" s="2"/>
      <c r="E101" s="2"/>
    </row>
    <row r="102" spans="4:5" ht="12.5">
      <c r="D102" s="2"/>
      <c r="E102" s="2"/>
    </row>
    <row r="103" spans="4:5" ht="12.5">
      <c r="D103" s="2"/>
      <c r="E103" s="2"/>
    </row>
    <row r="104" spans="4:5" ht="12.5">
      <c r="D104" s="2"/>
      <c r="E104" s="2"/>
    </row>
    <row r="105" spans="4:5" ht="12.5">
      <c r="D105" s="2"/>
      <c r="E105" s="2"/>
    </row>
    <row r="106" spans="4:5" ht="12.5">
      <c r="D106" s="2"/>
      <c r="E106" s="2"/>
    </row>
    <row r="107" spans="4:5" ht="12.5">
      <c r="D107" s="2"/>
      <c r="E107" s="2"/>
    </row>
    <row r="108" spans="4:5" ht="12.5">
      <c r="D108" s="2"/>
      <c r="E108" s="2"/>
    </row>
    <row r="109" spans="4:5" ht="12.5">
      <c r="D109" s="2"/>
      <c r="E109" s="2"/>
    </row>
    <row r="110" spans="4:5" ht="12.5">
      <c r="D110" s="2"/>
      <c r="E110" s="2"/>
    </row>
    <row r="111" spans="4:5" ht="12.5">
      <c r="D111" s="2"/>
      <c r="E111" s="2"/>
    </row>
    <row r="112" spans="4:5" ht="12.5">
      <c r="D112" s="2"/>
      <c r="E112" s="2"/>
    </row>
    <row r="113" spans="4:5" ht="12.5">
      <c r="D113" s="2"/>
      <c r="E113" s="2"/>
    </row>
    <row r="114" spans="4:5" ht="12.5">
      <c r="D114" s="2"/>
      <c r="E114" s="2"/>
    </row>
    <row r="115" spans="4:5" ht="12.5">
      <c r="D115" s="2"/>
      <c r="E115" s="2"/>
    </row>
    <row r="116" spans="4:5" ht="12.5">
      <c r="D116" s="2"/>
      <c r="E116" s="2"/>
    </row>
    <row r="117" spans="4:5" ht="12.5">
      <c r="D117" s="2"/>
      <c r="E117" s="2"/>
    </row>
    <row r="118" spans="4:5" ht="12.5">
      <c r="D118" s="2"/>
      <c r="E118" s="2"/>
    </row>
    <row r="119" spans="4:5" ht="12.5">
      <c r="D119" s="2"/>
      <c r="E119" s="2"/>
    </row>
    <row r="120" spans="4:5" ht="12.5">
      <c r="D120" s="2"/>
      <c r="E120" s="2"/>
    </row>
    <row r="121" spans="4:5" ht="12.5">
      <c r="D121" s="2"/>
      <c r="E121" s="2"/>
    </row>
    <row r="122" spans="4:5" ht="12.5">
      <c r="D122" s="2"/>
      <c r="E122" s="2"/>
    </row>
    <row r="123" spans="4:5" ht="12.5">
      <c r="D123" s="2"/>
      <c r="E123" s="2"/>
    </row>
    <row r="124" spans="4:5" ht="12.5">
      <c r="D124" s="2"/>
      <c r="E124" s="2"/>
    </row>
    <row r="125" spans="4:5" ht="12.5">
      <c r="D125" s="2"/>
      <c r="E125" s="2"/>
    </row>
    <row r="126" spans="4:5" ht="12.5">
      <c r="D126" s="2"/>
      <c r="E126" s="2"/>
    </row>
    <row r="127" spans="4:5" ht="12.5">
      <c r="D127" s="2"/>
      <c r="E127" s="2"/>
    </row>
    <row r="128" spans="4:5" ht="12.5">
      <c r="D128" s="2"/>
      <c r="E128" s="2"/>
    </row>
    <row r="129" spans="4:5" ht="12.5">
      <c r="D129" s="2"/>
      <c r="E129" s="2"/>
    </row>
    <row r="130" spans="4:5" ht="12.5">
      <c r="D130" s="2"/>
      <c r="E130" s="2"/>
    </row>
    <row r="131" spans="4:5" ht="12.5">
      <c r="D131" s="2"/>
      <c r="E131" s="2"/>
    </row>
    <row r="132" spans="4:5" ht="12.5">
      <c r="D132" s="2"/>
      <c r="E132" s="2"/>
    </row>
    <row r="133" spans="4:5" ht="12.5">
      <c r="D133" s="2"/>
      <c r="E133" s="2"/>
    </row>
    <row r="134" spans="4:5" ht="12.5">
      <c r="D134" s="2"/>
      <c r="E134" s="2"/>
    </row>
    <row r="135" spans="4:5" ht="12.5">
      <c r="D135" s="2"/>
      <c r="E135" s="2"/>
    </row>
    <row r="136" spans="4:5" ht="12.5">
      <c r="D136" s="2"/>
      <c r="E136" s="2"/>
    </row>
    <row r="137" spans="4:5" ht="12.5">
      <c r="D137" s="2"/>
      <c r="E137" s="2"/>
    </row>
    <row r="138" spans="4:5" ht="12.5">
      <c r="D138" s="2"/>
      <c r="E138" s="2"/>
    </row>
    <row r="139" spans="4:5" ht="12.5">
      <c r="D139" s="2"/>
      <c r="E139" s="2"/>
    </row>
    <row r="140" spans="4:5" ht="12.5">
      <c r="D140" s="2"/>
      <c r="E140" s="2"/>
    </row>
    <row r="141" spans="4:5" ht="12.5">
      <c r="D141" s="2"/>
      <c r="E141" s="2"/>
    </row>
    <row r="142" spans="4:5" ht="12.5">
      <c r="D142" s="2"/>
      <c r="E142" s="2"/>
    </row>
    <row r="143" spans="4:5" ht="12.5">
      <c r="D143" s="2"/>
      <c r="E143" s="2"/>
    </row>
    <row r="144" spans="4:5" ht="12.5">
      <c r="D144" s="2"/>
      <c r="E144" s="2"/>
    </row>
    <row r="145" spans="4:5" ht="12.5">
      <c r="D145" s="2"/>
      <c r="E145" s="2"/>
    </row>
    <row r="146" spans="4:5" ht="12.5">
      <c r="D146" s="2"/>
      <c r="E146" s="2"/>
    </row>
    <row r="147" spans="4:5" ht="12.5">
      <c r="D147" s="2"/>
      <c r="E147" s="2"/>
    </row>
    <row r="148" spans="4:5" ht="12.5">
      <c r="D148" s="2"/>
      <c r="E148" s="2"/>
    </row>
    <row r="149" spans="4:5" ht="12.5">
      <c r="D149" s="2"/>
      <c r="E149" s="2"/>
    </row>
    <row r="150" spans="4:5" ht="12.5">
      <c r="D150" s="2"/>
      <c r="E150" s="2"/>
    </row>
    <row r="151" spans="4:5" ht="12.5">
      <c r="D151" s="2"/>
      <c r="E151" s="2"/>
    </row>
    <row r="152" spans="4:5" ht="12.5">
      <c r="D152" s="2"/>
      <c r="E152" s="2"/>
    </row>
    <row r="153" spans="4:5" ht="12.5">
      <c r="D153" s="2"/>
      <c r="E153" s="2"/>
    </row>
    <row r="154" spans="4:5" ht="12.5">
      <c r="D154" s="2"/>
      <c r="E154" s="2"/>
    </row>
    <row r="155" spans="4:5" ht="12.5">
      <c r="D155" s="2"/>
      <c r="E155" s="2"/>
    </row>
    <row r="156" spans="4:5" ht="12.5">
      <c r="D156" s="2"/>
      <c r="E156" s="2"/>
    </row>
    <row r="157" spans="4:5" ht="12.5">
      <c r="D157" s="2"/>
      <c r="E157" s="2"/>
    </row>
    <row r="158" spans="4:5" ht="12.5">
      <c r="D158" s="2"/>
      <c r="E158" s="2"/>
    </row>
    <row r="159" spans="4:5" ht="12.5">
      <c r="D159" s="2"/>
      <c r="E159" s="2"/>
    </row>
    <row r="160" spans="4:5" ht="12.5">
      <c r="D160" s="2"/>
      <c r="E160" s="2"/>
    </row>
    <row r="161" spans="4:5" ht="12.5">
      <c r="D161" s="2"/>
      <c r="E161" s="2"/>
    </row>
    <row r="162" spans="4:5" ht="12.5">
      <c r="D162" s="2"/>
      <c r="E162" s="2"/>
    </row>
    <row r="163" spans="4:5" ht="12.5">
      <c r="D163" s="2"/>
      <c r="E163" s="2"/>
    </row>
    <row r="164" spans="4:5" ht="12.5">
      <c r="D164" s="2"/>
      <c r="E164" s="2"/>
    </row>
    <row r="165" spans="4:5" ht="12.5">
      <c r="D165" s="2"/>
      <c r="E165" s="2"/>
    </row>
    <row r="166" spans="4:5" ht="12.5">
      <c r="D166" s="2"/>
      <c r="E166" s="2"/>
    </row>
    <row r="167" spans="4:5" ht="12.5">
      <c r="D167" s="2"/>
      <c r="E167" s="2"/>
    </row>
    <row r="168" spans="4:5" ht="12.5">
      <c r="D168" s="2"/>
      <c r="E168" s="2"/>
    </row>
    <row r="169" spans="4:5" ht="12.5">
      <c r="D169" s="2"/>
      <c r="E169" s="2"/>
    </row>
    <row r="170" spans="4:5" ht="12.5">
      <c r="D170" s="2"/>
      <c r="E170" s="2"/>
    </row>
    <row r="171" spans="4:5" ht="12.5">
      <c r="D171" s="2"/>
      <c r="E171" s="2"/>
    </row>
    <row r="172" spans="4:5" ht="12.5">
      <c r="D172" s="2"/>
      <c r="E172" s="2"/>
    </row>
    <row r="173" spans="4:5" ht="12.5">
      <c r="D173" s="2"/>
      <c r="E173" s="2"/>
    </row>
    <row r="174" spans="4:5" ht="12.5">
      <c r="D174" s="2"/>
      <c r="E174" s="2"/>
    </row>
    <row r="175" spans="4:5" ht="12.5">
      <c r="D175" s="2"/>
      <c r="E175" s="2"/>
    </row>
    <row r="176" spans="4:5" ht="12.5">
      <c r="D176" s="2"/>
      <c r="E176" s="2"/>
    </row>
    <row r="177" spans="4:5" ht="12.5">
      <c r="D177" s="2"/>
      <c r="E177" s="2"/>
    </row>
    <row r="178" spans="4:5" ht="12.5">
      <c r="D178" s="2"/>
      <c r="E178" s="2"/>
    </row>
    <row r="179" spans="4:5" ht="12.5">
      <c r="D179" s="2"/>
      <c r="E179" s="2"/>
    </row>
    <row r="180" spans="4:5" ht="12.5">
      <c r="D180" s="2"/>
      <c r="E180" s="2"/>
    </row>
    <row r="181" spans="4:5" ht="12.5">
      <c r="D181" s="2"/>
      <c r="E181" s="2"/>
    </row>
    <row r="182" spans="4:5" ht="12.5">
      <c r="D182" s="2"/>
      <c r="E182" s="2"/>
    </row>
    <row r="183" spans="4:5" ht="12.5">
      <c r="D183" s="2"/>
      <c r="E183" s="2"/>
    </row>
    <row r="184" spans="4:5" ht="12.5">
      <c r="D184" s="2"/>
      <c r="E184" s="2"/>
    </row>
    <row r="185" spans="4:5" ht="12.5">
      <c r="D185" s="2"/>
      <c r="E185" s="2"/>
    </row>
    <row r="186" spans="4:5" ht="12.5">
      <c r="D186" s="2"/>
      <c r="E186" s="2"/>
    </row>
    <row r="187" spans="4:5" ht="12.5">
      <c r="D187" s="2"/>
      <c r="E187" s="2"/>
    </row>
    <row r="188" spans="4:5" ht="12.5">
      <c r="D188" s="2"/>
      <c r="E188" s="2"/>
    </row>
    <row r="189" spans="4:5" ht="12.5">
      <c r="D189" s="2"/>
      <c r="E189" s="2"/>
    </row>
    <row r="190" spans="4:5" ht="12.5">
      <c r="D190" s="2"/>
      <c r="E190" s="2"/>
    </row>
    <row r="191" spans="4:5" ht="12.5">
      <c r="D191" s="2"/>
      <c r="E191" s="2"/>
    </row>
    <row r="192" spans="4:5" ht="12.5">
      <c r="D192" s="2"/>
      <c r="E192" s="2"/>
    </row>
    <row r="193" spans="4:5" ht="12.5">
      <c r="D193" s="2"/>
      <c r="E193" s="2"/>
    </row>
    <row r="194" spans="4:5" ht="12.5">
      <c r="D194" s="2"/>
      <c r="E194" s="2"/>
    </row>
    <row r="195" spans="4:5" ht="12.5">
      <c r="D195" s="2"/>
      <c r="E195" s="2"/>
    </row>
    <row r="196" spans="4:5" ht="12.5">
      <c r="D196" s="2"/>
      <c r="E196" s="2"/>
    </row>
    <row r="197" spans="4:5" ht="12.5">
      <c r="D197" s="2"/>
      <c r="E197" s="2"/>
    </row>
    <row r="198" spans="4:5" ht="12.5">
      <c r="D198" s="2"/>
      <c r="E198" s="2"/>
    </row>
    <row r="199" spans="4:5" ht="12.5">
      <c r="D199" s="2"/>
      <c r="E199" s="2"/>
    </row>
    <row r="200" spans="4:5" ht="12.5">
      <c r="D200" s="2"/>
      <c r="E200" s="2"/>
    </row>
    <row r="201" spans="4:5" ht="12.5">
      <c r="D201" s="2"/>
      <c r="E201" s="2"/>
    </row>
    <row r="202" spans="4:5" ht="12.5">
      <c r="D202" s="2"/>
      <c r="E202" s="2"/>
    </row>
    <row r="203" spans="4:5" ht="12.5">
      <c r="D203" s="2"/>
      <c r="E203" s="2"/>
    </row>
    <row r="204" spans="4:5" ht="12.5">
      <c r="D204" s="2"/>
      <c r="E204" s="2"/>
    </row>
    <row r="205" spans="4:5" ht="12.5">
      <c r="D205" s="2"/>
      <c r="E205" s="2"/>
    </row>
    <row r="206" spans="4:5" ht="12.5">
      <c r="D206" s="2"/>
      <c r="E206" s="2"/>
    </row>
    <row r="207" spans="4:5" ht="12.5">
      <c r="D207" s="2"/>
      <c r="E207" s="2"/>
    </row>
    <row r="208" spans="4:5" ht="12.5">
      <c r="D208" s="2"/>
      <c r="E208" s="2"/>
    </row>
    <row r="209" spans="4:5" ht="12.5">
      <c r="D209" s="2"/>
      <c r="E209" s="2"/>
    </row>
    <row r="210" spans="4:5" ht="12.5">
      <c r="D210" s="2"/>
      <c r="E210" s="2"/>
    </row>
    <row r="211" spans="4:5" ht="12.5">
      <c r="D211" s="2"/>
      <c r="E211" s="2"/>
    </row>
    <row r="212" spans="4:5" ht="12.5">
      <c r="D212" s="2"/>
      <c r="E212" s="2"/>
    </row>
    <row r="213" spans="4:5" ht="12.5">
      <c r="D213" s="2"/>
      <c r="E213" s="2"/>
    </row>
    <row r="214" spans="4:5" ht="12.5">
      <c r="D214" s="2"/>
      <c r="E214" s="2"/>
    </row>
    <row r="215" spans="4:5" ht="12.5">
      <c r="D215" s="2"/>
      <c r="E215" s="2"/>
    </row>
    <row r="216" spans="4:5" ht="12.5">
      <c r="D216" s="2"/>
      <c r="E216" s="2"/>
    </row>
    <row r="217" spans="4:5" ht="12.5">
      <c r="D217" s="2"/>
      <c r="E217" s="2"/>
    </row>
    <row r="218" spans="4:5" ht="12.5">
      <c r="D218" s="2"/>
      <c r="E218" s="2"/>
    </row>
    <row r="219" spans="4:5" ht="12.5">
      <c r="D219" s="2"/>
      <c r="E219" s="2"/>
    </row>
    <row r="220" spans="4:5" ht="12.5">
      <c r="D220" s="2"/>
      <c r="E220" s="2"/>
    </row>
    <row r="221" spans="4:5" ht="12.5">
      <c r="D221" s="2"/>
      <c r="E221" s="2"/>
    </row>
    <row r="222" spans="4:5" ht="12.5">
      <c r="D222" s="2"/>
      <c r="E222" s="2"/>
    </row>
    <row r="223" spans="4:5" ht="12.5">
      <c r="D223" s="2"/>
      <c r="E223" s="2"/>
    </row>
    <row r="224" spans="4:5" ht="12.5">
      <c r="D224" s="2"/>
      <c r="E224" s="2"/>
    </row>
    <row r="225" spans="4:5" ht="12.5">
      <c r="D225" s="2"/>
      <c r="E225" s="2"/>
    </row>
    <row r="226" spans="4:5" ht="12.5">
      <c r="D226" s="2"/>
      <c r="E226" s="2"/>
    </row>
    <row r="227" spans="4:5" ht="12.5">
      <c r="D227" s="2"/>
      <c r="E227" s="2"/>
    </row>
    <row r="228" spans="4:5" ht="12.5">
      <c r="D228" s="2"/>
      <c r="E228" s="2"/>
    </row>
    <row r="229" spans="4:5" ht="12.5">
      <c r="D229" s="2"/>
      <c r="E229" s="2"/>
    </row>
    <row r="230" spans="4:5" ht="12.5">
      <c r="D230" s="2"/>
      <c r="E230" s="2"/>
    </row>
    <row r="231" spans="4:5" ht="12.5">
      <c r="D231" s="2"/>
      <c r="E231" s="2"/>
    </row>
    <row r="232" spans="4:5" ht="12.5">
      <c r="D232" s="2"/>
      <c r="E232" s="2"/>
    </row>
    <row r="233" spans="4:5" ht="12.5">
      <c r="D233" s="2"/>
      <c r="E233" s="2"/>
    </row>
    <row r="234" spans="4:5" ht="12.5">
      <c r="D234" s="2"/>
      <c r="E234" s="2"/>
    </row>
    <row r="235" spans="4:5" ht="12.5">
      <c r="D235" s="2"/>
      <c r="E235" s="2"/>
    </row>
    <row r="236" spans="4:5" ht="12.5">
      <c r="D236" s="2"/>
      <c r="E236" s="2"/>
    </row>
    <row r="237" spans="4:5" ht="12.5">
      <c r="D237" s="2"/>
      <c r="E237" s="2"/>
    </row>
    <row r="238" spans="4:5" ht="12.5">
      <c r="D238" s="2"/>
      <c r="E238" s="2"/>
    </row>
    <row r="239" spans="4:5" ht="12.5">
      <c r="D239" s="2"/>
      <c r="E239" s="2"/>
    </row>
    <row r="240" spans="4:5" ht="12.5">
      <c r="D240" s="2"/>
      <c r="E240" s="2"/>
    </row>
    <row r="241" spans="4:5" ht="12.5">
      <c r="D241" s="2"/>
      <c r="E241" s="2"/>
    </row>
    <row r="242" spans="4:5" ht="12.5">
      <c r="D242" s="2"/>
      <c r="E242" s="2"/>
    </row>
    <row r="243" spans="4:5" ht="12.5">
      <c r="D243" s="2"/>
      <c r="E243" s="2"/>
    </row>
    <row r="244" spans="4:5" ht="12.5">
      <c r="D244" s="2"/>
      <c r="E244" s="2"/>
    </row>
    <row r="245" spans="4:5" ht="12.5">
      <c r="D245" s="2"/>
      <c r="E245" s="2"/>
    </row>
    <row r="246" spans="4:5" ht="12.5">
      <c r="D246" s="2"/>
      <c r="E246" s="2"/>
    </row>
    <row r="247" spans="4:5" ht="12.5">
      <c r="D247" s="2"/>
      <c r="E247" s="2"/>
    </row>
    <row r="248" spans="4:5" ht="12.5">
      <c r="D248" s="2"/>
      <c r="E248" s="2"/>
    </row>
    <row r="249" spans="4:5" ht="12.5">
      <c r="D249" s="2"/>
      <c r="E249" s="2"/>
    </row>
    <row r="250" spans="4:5" ht="12.5">
      <c r="D250" s="2"/>
      <c r="E250" s="2"/>
    </row>
    <row r="251" spans="4:5" ht="12.5">
      <c r="D251" s="2"/>
      <c r="E251" s="2"/>
    </row>
    <row r="252" spans="4:5" ht="12.5">
      <c r="D252" s="2"/>
      <c r="E252" s="2"/>
    </row>
    <row r="253" spans="4:5" ht="12.5">
      <c r="D253" s="2"/>
      <c r="E253" s="2"/>
    </row>
    <row r="254" spans="4:5" ht="12.5">
      <c r="D254" s="2"/>
      <c r="E254" s="2"/>
    </row>
    <row r="255" spans="4:5" ht="12.5">
      <c r="D255" s="2"/>
      <c r="E255" s="2"/>
    </row>
    <row r="256" spans="4:5" ht="12.5">
      <c r="D256" s="2"/>
      <c r="E256" s="2"/>
    </row>
    <row r="257" spans="4:5" ht="12.5">
      <c r="D257" s="2"/>
      <c r="E257" s="2"/>
    </row>
    <row r="258" spans="4:5" ht="12.5">
      <c r="D258" s="2"/>
      <c r="E258" s="2"/>
    </row>
    <row r="259" spans="4:5" ht="12.5">
      <c r="D259" s="2"/>
      <c r="E259" s="2"/>
    </row>
    <row r="260" spans="4:5" ht="12.5">
      <c r="D260" s="2"/>
      <c r="E260" s="2"/>
    </row>
    <row r="261" spans="4:5" ht="12.5">
      <c r="D261" s="2"/>
      <c r="E261" s="2"/>
    </row>
    <row r="262" spans="4:5" ht="12.5">
      <c r="D262" s="2"/>
      <c r="E262" s="2"/>
    </row>
    <row r="263" spans="4:5" ht="12.5">
      <c r="D263" s="2"/>
      <c r="E263" s="2"/>
    </row>
    <row r="264" spans="4:5" ht="12.5">
      <c r="D264" s="2"/>
      <c r="E264" s="2"/>
    </row>
    <row r="265" spans="4:5" ht="12.5">
      <c r="D265" s="2"/>
      <c r="E265" s="2"/>
    </row>
    <row r="266" spans="4:5" ht="12.5">
      <c r="D266" s="2"/>
      <c r="E266" s="2"/>
    </row>
    <row r="267" spans="4:5" ht="12.5">
      <c r="D267" s="2"/>
      <c r="E267" s="2"/>
    </row>
    <row r="268" spans="4:5" ht="12.5">
      <c r="D268" s="2"/>
      <c r="E268" s="2"/>
    </row>
    <row r="269" spans="4:5" ht="12.5">
      <c r="D269" s="2"/>
      <c r="E269" s="2"/>
    </row>
    <row r="270" spans="4:5" ht="12.5">
      <c r="D270" s="2"/>
      <c r="E270" s="2"/>
    </row>
    <row r="271" spans="4:5" ht="12.5">
      <c r="D271" s="2"/>
      <c r="E271" s="2"/>
    </row>
    <row r="272" spans="4:5" ht="12.5">
      <c r="D272" s="2"/>
      <c r="E272" s="2"/>
    </row>
    <row r="273" spans="4:5" ht="12.5">
      <c r="D273" s="2"/>
      <c r="E273" s="2"/>
    </row>
    <row r="274" spans="4:5" ht="12.5">
      <c r="D274" s="2"/>
      <c r="E274" s="2"/>
    </row>
    <row r="275" spans="4:5" ht="12.5">
      <c r="D275" s="2"/>
      <c r="E275" s="2"/>
    </row>
    <row r="276" spans="4:5" ht="12.5">
      <c r="D276" s="2"/>
      <c r="E276" s="2"/>
    </row>
    <row r="277" spans="4:5" ht="12.5">
      <c r="D277" s="2"/>
      <c r="E277" s="2"/>
    </row>
    <row r="278" spans="4:5" ht="12.5">
      <c r="D278" s="2"/>
      <c r="E278" s="2"/>
    </row>
    <row r="279" spans="4:5" ht="12.5">
      <c r="D279" s="2"/>
      <c r="E279" s="2"/>
    </row>
    <row r="280" spans="4:5" ht="12.5">
      <c r="D280" s="2"/>
      <c r="E280" s="2"/>
    </row>
    <row r="281" spans="4:5" ht="12.5">
      <c r="D281" s="2"/>
      <c r="E281" s="2"/>
    </row>
    <row r="282" spans="4:5" ht="12.5">
      <c r="D282" s="2"/>
      <c r="E282" s="2"/>
    </row>
    <row r="283" spans="4:5" ht="12.5">
      <c r="D283" s="2"/>
      <c r="E283" s="2"/>
    </row>
    <row r="284" spans="4:5" ht="12.5">
      <c r="D284" s="2"/>
      <c r="E284" s="2"/>
    </row>
    <row r="285" spans="4:5" ht="12.5">
      <c r="D285" s="2"/>
      <c r="E285" s="2"/>
    </row>
    <row r="286" spans="4:5" ht="12.5">
      <c r="D286" s="2"/>
      <c r="E286" s="2"/>
    </row>
    <row r="287" spans="4:5" ht="12.5">
      <c r="D287" s="2"/>
      <c r="E287" s="2"/>
    </row>
    <row r="288" spans="4:5" ht="12.5">
      <c r="D288" s="2"/>
      <c r="E288" s="2"/>
    </row>
    <row r="289" spans="4:5" ht="12.5">
      <c r="D289" s="2"/>
      <c r="E289" s="2"/>
    </row>
    <row r="290" spans="4:5" ht="12.5">
      <c r="D290" s="2"/>
      <c r="E290" s="2"/>
    </row>
    <row r="291" spans="4:5" ht="12.5">
      <c r="D291" s="2"/>
      <c r="E291" s="2"/>
    </row>
    <row r="292" spans="4:5" ht="12.5">
      <c r="D292" s="2"/>
      <c r="E292" s="2"/>
    </row>
    <row r="293" spans="4:5" ht="12.5">
      <c r="D293" s="2"/>
      <c r="E293" s="2"/>
    </row>
    <row r="294" spans="4:5" ht="12.5">
      <c r="D294" s="2"/>
      <c r="E294" s="2"/>
    </row>
    <row r="295" spans="4:5" ht="12.5">
      <c r="D295" s="2"/>
      <c r="E295" s="2"/>
    </row>
    <row r="296" spans="4:5" ht="12.5">
      <c r="D296" s="2"/>
      <c r="E296" s="2"/>
    </row>
    <row r="297" spans="4:5" ht="12.5">
      <c r="D297" s="2"/>
      <c r="E297" s="2"/>
    </row>
    <row r="298" spans="4:5" ht="12.5">
      <c r="D298" s="2"/>
      <c r="E298" s="2"/>
    </row>
    <row r="299" spans="4:5" ht="12.5">
      <c r="D299" s="2"/>
      <c r="E299" s="2"/>
    </row>
    <row r="300" spans="4:5" ht="12.5">
      <c r="D300" s="2"/>
      <c r="E300" s="2"/>
    </row>
    <row r="301" spans="4:5" ht="12.5">
      <c r="D301" s="2"/>
      <c r="E301" s="2"/>
    </row>
    <row r="302" spans="4:5" ht="12.5">
      <c r="D302" s="2"/>
      <c r="E302" s="2"/>
    </row>
    <row r="303" spans="4:5" ht="12.5">
      <c r="D303" s="2"/>
      <c r="E303" s="2"/>
    </row>
    <row r="304" spans="4:5" ht="12.5">
      <c r="D304" s="2"/>
      <c r="E304" s="2"/>
    </row>
    <row r="305" spans="4:5" ht="12.5">
      <c r="D305" s="2"/>
      <c r="E305" s="2"/>
    </row>
    <row r="306" spans="4:5" ht="12.5">
      <c r="D306" s="2"/>
      <c r="E306" s="2"/>
    </row>
    <row r="307" spans="4:5" ht="12.5">
      <c r="D307" s="2"/>
      <c r="E307" s="2"/>
    </row>
    <row r="308" spans="4:5" ht="12.5">
      <c r="D308" s="2"/>
      <c r="E308" s="2"/>
    </row>
    <row r="309" spans="4:5" ht="12.5">
      <c r="D309" s="2"/>
      <c r="E309" s="2"/>
    </row>
    <row r="310" spans="4:5" ht="12.5">
      <c r="D310" s="2"/>
      <c r="E310" s="2"/>
    </row>
    <row r="311" spans="4:5" ht="12.5">
      <c r="D311" s="2"/>
      <c r="E311" s="2"/>
    </row>
    <row r="312" spans="4:5" ht="12.5">
      <c r="D312" s="2"/>
      <c r="E312" s="2"/>
    </row>
    <row r="313" spans="4:5" ht="12.5">
      <c r="D313" s="2"/>
      <c r="E313" s="2"/>
    </row>
    <row r="314" spans="4:5" ht="12.5">
      <c r="D314" s="2"/>
      <c r="E314" s="2"/>
    </row>
    <row r="315" spans="4:5" ht="12.5">
      <c r="D315" s="2"/>
      <c r="E315" s="2"/>
    </row>
    <row r="316" spans="4:5" ht="12.5">
      <c r="D316" s="2"/>
      <c r="E316" s="2"/>
    </row>
    <row r="317" spans="4:5" ht="12.5">
      <c r="D317" s="2"/>
      <c r="E317" s="2"/>
    </row>
    <row r="318" spans="4:5" ht="12.5">
      <c r="D318" s="2"/>
      <c r="E318" s="2"/>
    </row>
    <row r="319" spans="4:5" ht="12.5">
      <c r="D319" s="2"/>
      <c r="E319" s="2"/>
    </row>
    <row r="320" spans="4:5" ht="12.5">
      <c r="D320" s="2"/>
      <c r="E320" s="2"/>
    </row>
    <row r="321" spans="4:5" ht="12.5">
      <c r="D321" s="2"/>
      <c r="E321" s="2"/>
    </row>
    <row r="322" spans="4:5" ht="12.5">
      <c r="D322" s="2"/>
      <c r="E322" s="2"/>
    </row>
    <row r="323" spans="4:5" ht="12.5">
      <c r="D323" s="2"/>
      <c r="E323" s="2"/>
    </row>
    <row r="324" spans="4:5" ht="12.5">
      <c r="D324" s="2"/>
      <c r="E324" s="2"/>
    </row>
    <row r="325" spans="4:5" ht="12.5">
      <c r="D325" s="2"/>
      <c r="E325" s="2"/>
    </row>
    <row r="326" spans="4:5" ht="12.5">
      <c r="D326" s="2"/>
      <c r="E326" s="2"/>
    </row>
    <row r="327" spans="4:5" ht="12.5">
      <c r="D327" s="2"/>
      <c r="E327" s="2"/>
    </row>
    <row r="328" spans="4:5" ht="12.5">
      <c r="D328" s="2"/>
      <c r="E328" s="2"/>
    </row>
    <row r="329" spans="4:5" ht="12.5">
      <c r="D329" s="2"/>
      <c r="E329" s="2"/>
    </row>
    <row r="330" spans="4:5" ht="12.5">
      <c r="D330" s="2"/>
      <c r="E330" s="2"/>
    </row>
    <row r="331" spans="4:5" ht="12.5">
      <c r="D331" s="2"/>
      <c r="E331" s="2"/>
    </row>
    <row r="332" spans="4:5" ht="12.5">
      <c r="D332" s="2"/>
      <c r="E332" s="2"/>
    </row>
    <row r="333" spans="4:5" ht="12.5">
      <c r="D333" s="2"/>
      <c r="E333" s="2"/>
    </row>
    <row r="334" spans="4:5" ht="12.5">
      <c r="D334" s="2"/>
      <c r="E334" s="2"/>
    </row>
    <row r="335" spans="4:5" ht="12.5">
      <c r="D335" s="2"/>
      <c r="E335" s="2"/>
    </row>
    <row r="336" spans="4:5" ht="12.5">
      <c r="D336" s="2"/>
      <c r="E336" s="2"/>
    </row>
    <row r="337" spans="4:5" ht="12.5">
      <c r="D337" s="2"/>
      <c r="E337" s="2"/>
    </row>
    <row r="338" spans="4:5" ht="12.5">
      <c r="D338" s="2"/>
      <c r="E338" s="2"/>
    </row>
    <row r="339" spans="4:5" ht="12.5">
      <c r="D339" s="2"/>
      <c r="E339" s="2"/>
    </row>
    <row r="340" spans="4:5" ht="12.5">
      <c r="D340" s="2"/>
      <c r="E340" s="2"/>
    </row>
    <row r="341" spans="4:5" ht="12.5">
      <c r="D341" s="2"/>
      <c r="E341" s="2"/>
    </row>
    <row r="342" spans="4:5" ht="12.5">
      <c r="D342" s="2"/>
      <c r="E342" s="2"/>
    </row>
    <row r="343" spans="4:5" ht="12.5">
      <c r="D343" s="2"/>
      <c r="E343" s="2"/>
    </row>
    <row r="344" spans="4:5" ht="12.5">
      <c r="D344" s="2"/>
      <c r="E344" s="2"/>
    </row>
    <row r="345" spans="4:5" ht="12.5">
      <c r="D345" s="2"/>
      <c r="E345" s="2"/>
    </row>
    <row r="346" spans="4:5" ht="12.5">
      <c r="D346" s="2"/>
      <c r="E346" s="2"/>
    </row>
    <row r="347" spans="4:5" ht="12.5">
      <c r="D347" s="2"/>
      <c r="E347" s="2"/>
    </row>
    <row r="348" spans="4:5" ht="12.5">
      <c r="D348" s="2"/>
      <c r="E348" s="2"/>
    </row>
    <row r="349" spans="4:5" ht="12.5">
      <c r="D349" s="2"/>
      <c r="E349" s="2"/>
    </row>
    <row r="350" spans="4:5" ht="12.5">
      <c r="D350" s="2"/>
      <c r="E350" s="2"/>
    </row>
    <row r="351" spans="4:5" ht="12.5">
      <c r="D351" s="2"/>
      <c r="E351" s="2"/>
    </row>
    <row r="352" spans="4:5" ht="12.5">
      <c r="D352" s="2"/>
      <c r="E352" s="2"/>
    </row>
    <row r="353" spans="4:5" ht="12.5">
      <c r="D353" s="2"/>
      <c r="E353" s="2"/>
    </row>
    <row r="354" spans="4:5" ht="12.5">
      <c r="D354" s="2"/>
      <c r="E354" s="2"/>
    </row>
    <row r="355" spans="4:5" ht="12.5">
      <c r="D355" s="2"/>
      <c r="E355" s="2"/>
    </row>
    <row r="356" spans="4:5" ht="12.5">
      <c r="D356" s="2"/>
      <c r="E356" s="2"/>
    </row>
    <row r="357" spans="4:5" ht="12.5">
      <c r="D357" s="2"/>
      <c r="E357" s="2"/>
    </row>
    <row r="358" spans="4:5" ht="12.5">
      <c r="D358" s="2"/>
      <c r="E358" s="2"/>
    </row>
    <row r="359" spans="4:5" ht="12.5">
      <c r="D359" s="2"/>
      <c r="E359" s="2"/>
    </row>
    <row r="360" spans="4:5" ht="12.5">
      <c r="D360" s="2"/>
      <c r="E360" s="2"/>
    </row>
    <row r="361" spans="4:5" ht="12.5">
      <c r="D361" s="2"/>
      <c r="E361" s="2"/>
    </row>
    <row r="362" spans="4:5" ht="12.5">
      <c r="D362" s="2"/>
      <c r="E362" s="2"/>
    </row>
    <row r="363" spans="4:5" ht="12.5">
      <c r="D363" s="2"/>
      <c r="E363" s="2"/>
    </row>
    <row r="364" spans="4:5" ht="12.5">
      <c r="D364" s="2"/>
      <c r="E364" s="2"/>
    </row>
    <row r="365" spans="4:5" ht="12.5">
      <c r="D365" s="2"/>
      <c r="E365" s="2"/>
    </row>
    <row r="366" spans="4:5" ht="12.5">
      <c r="D366" s="2"/>
      <c r="E366" s="2"/>
    </row>
    <row r="367" spans="4:5" ht="12.5">
      <c r="D367" s="2"/>
      <c r="E367" s="2"/>
    </row>
    <row r="368" spans="4:5" ht="12.5">
      <c r="D368" s="2"/>
      <c r="E368" s="2"/>
    </row>
    <row r="369" spans="4:5" ht="12.5">
      <c r="D369" s="2"/>
      <c r="E369" s="2"/>
    </row>
    <row r="370" spans="4:5" ht="12.5">
      <c r="D370" s="2"/>
      <c r="E370" s="2"/>
    </row>
    <row r="371" spans="4:5" ht="12.5">
      <c r="D371" s="2"/>
      <c r="E371" s="2"/>
    </row>
    <row r="372" spans="4:5" ht="12.5">
      <c r="D372" s="2"/>
      <c r="E372" s="2"/>
    </row>
    <row r="373" spans="4:5" ht="12.5">
      <c r="D373" s="2"/>
      <c r="E373" s="2"/>
    </row>
    <row r="374" spans="4:5" ht="12.5">
      <c r="D374" s="2"/>
      <c r="E374" s="2"/>
    </row>
    <row r="375" spans="4:5" ht="12.5">
      <c r="D375" s="2"/>
      <c r="E375" s="2"/>
    </row>
    <row r="376" spans="4:5" ht="12.5">
      <c r="D376" s="2"/>
      <c r="E376" s="2"/>
    </row>
    <row r="377" spans="4:5" ht="12.5">
      <c r="D377" s="2"/>
      <c r="E377" s="2"/>
    </row>
    <row r="378" spans="4:5" ht="12.5">
      <c r="D378" s="2"/>
      <c r="E378" s="2"/>
    </row>
    <row r="379" spans="4:5" ht="12.5">
      <c r="D379" s="2"/>
      <c r="E379" s="2"/>
    </row>
    <row r="380" spans="4:5" ht="12.5">
      <c r="D380" s="2"/>
      <c r="E380" s="2"/>
    </row>
    <row r="381" spans="4:5" ht="12.5">
      <c r="D381" s="2"/>
      <c r="E381" s="2"/>
    </row>
    <row r="382" spans="4:5" ht="12.5">
      <c r="D382" s="2"/>
      <c r="E382" s="2"/>
    </row>
    <row r="383" spans="4:5" ht="12.5">
      <c r="D383" s="2"/>
      <c r="E383" s="2"/>
    </row>
    <row r="384" spans="4:5" ht="12.5">
      <c r="D384" s="2"/>
      <c r="E384" s="2"/>
    </row>
    <row r="385" spans="4:5" ht="12.5">
      <c r="D385" s="2"/>
      <c r="E385" s="2"/>
    </row>
    <row r="386" spans="4:5" ht="12.5">
      <c r="D386" s="2"/>
      <c r="E386" s="2"/>
    </row>
    <row r="387" spans="4:5" ht="12.5">
      <c r="D387" s="2"/>
      <c r="E387" s="2"/>
    </row>
    <row r="388" spans="4:5" ht="12.5">
      <c r="D388" s="2"/>
      <c r="E388" s="2"/>
    </row>
    <row r="389" spans="4:5" ht="12.5">
      <c r="D389" s="2"/>
      <c r="E389" s="2"/>
    </row>
    <row r="390" spans="4:5" ht="12.5">
      <c r="D390" s="2"/>
      <c r="E390" s="2"/>
    </row>
    <row r="391" spans="4:5" ht="12.5">
      <c r="D391" s="2"/>
      <c r="E391" s="2"/>
    </row>
    <row r="392" spans="4:5" ht="12.5">
      <c r="D392" s="2"/>
      <c r="E392" s="2"/>
    </row>
    <row r="393" spans="4:5" ht="12.5">
      <c r="D393" s="2"/>
      <c r="E393" s="2"/>
    </row>
    <row r="394" spans="4:5" ht="12.5">
      <c r="D394" s="2"/>
      <c r="E394" s="2"/>
    </row>
    <row r="395" spans="4:5" ht="12.5">
      <c r="D395" s="2"/>
      <c r="E395" s="2"/>
    </row>
    <row r="396" spans="4:5" ht="12.5">
      <c r="D396" s="2"/>
      <c r="E396" s="2"/>
    </row>
    <row r="397" spans="4:5" ht="12.5">
      <c r="D397" s="2"/>
      <c r="E397" s="2"/>
    </row>
    <row r="398" spans="4:5" ht="12.5">
      <c r="D398" s="2"/>
      <c r="E398" s="2"/>
    </row>
    <row r="399" spans="4:5" ht="12.5">
      <c r="D399" s="2"/>
      <c r="E399" s="2"/>
    </row>
    <row r="400" spans="4:5" ht="12.5">
      <c r="D400" s="2"/>
      <c r="E400" s="2"/>
    </row>
    <row r="401" spans="4:5" ht="12.5">
      <c r="D401" s="2"/>
      <c r="E401" s="2"/>
    </row>
    <row r="402" spans="4:5" ht="12.5">
      <c r="D402" s="2"/>
      <c r="E402" s="2"/>
    </row>
    <row r="403" spans="4:5" ht="12.5">
      <c r="D403" s="2"/>
      <c r="E403" s="2"/>
    </row>
    <row r="404" spans="4:5" ht="12.5">
      <c r="D404" s="2"/>
      <c r="E404" s="2"/>
    </row>
    <row r="405" spans="4:5" ht="12.5">
      <c r="D405" s="2"/>
      <c r="E405" s="2"/>
    </row>
    <row r="406" spans="4:5" ht="12.5">
      <c r="D406" s="2"/>
      <c r="E406" s="2"/>
    </row>
    <row r="407" spans="4:5" ht="12.5">
      <c r="D407" s="2"/>
      <c r="E407" s="2"/>
    </row>
    <row r="408" spans="4:5" ht="12.5">
      <c r="D408" s="2"/>
      <c r="E408" s="2"/>
    </row>
    <row r="409" spans="4:5" ht="12.5">
      <c r="D409" s="2"/>
      <c r="E409" s="2"/>
    </row>
    <row r="410" spans="4:5" ht="12.5">
      <c r="D410" s="2"/>
      <c r="E410" s="2"/>
    </row>
    <row r="411" spans="4:5" ht="12.5">
      <c r="D411" s="2"/>
      <c r="E411" s="2"/>
    </row>
    <row r="412" spans="4:5" ht="12.5">
      <c r="D412" s="2"/>
      <c r="E412" s="2"/>
    </row>
    <row r="413" spans="4:5" ht="12.5">
      <c r="D413" s="2"/>
      <c r="E413" s="2"/>
    </row>
    <row r="414" spans="4:5" ht="12.5">
      <c r="D414" s="2"/>
      <c r="E414" s="2"/>
    </row>
    <row r="415" spans="4:5" ht="12.5">
      <c r="D415" s="2"/>
      <c r="E415" s="2"/>
    </row>
    <row r="416" spans="4:5" ht="12.5">
      <c r="D416" s="2"/>
      <c r="E416" s="2"/>
    </row>
    <row r="417" spans="4:5" ht="12.5">
      <c r="D417" s="2"/>
      <c r="E417" s="2"/>
    </row>
    <row r="418" spans="4:5" ht="12.5">
      <c r="D418" s="2"/>
      <c r="E418" s="2"/>
    </row>
    <row r="419" spans="4:5" ht="12.5">
      <c r="D419" s="2"/>
      <c r="E419" s="2"/>
    </row>
    <row r="420" spans="4:5" ht="12.5">
      <c r="D420" s="2"/>
      <c r="E420" s="2"/>
    </row>
    <row r="421" spans="4:5" ht="12.5">
      <c r="D421" s="2"/>
      <c r="E421" s="2"/>
    </row>
    <row r="422" spans="4:5" ht="12.5">
      <c r="D422" s="2"/>
      <c r="E422" s="2"/>
    </row>
    <row r="423" spans="4:5" ht="12.5">
      <c r="D423" s="2"/>
      <c r="E423" s="2"/>
    </row>
    <row r="424" spans="4:5" ht="12.5">
      <c r="D424" s="2"/>
      <c r="E424" s="2"/>
    </row>
    <row r="425" spans="4:5" ht="12.5">
      <c r="D425" s="2"/>
      <c r="E425" s="2"/>
    </row>
    <row r="426" spans="4:5" ht="12.5">
      <c r="D426" s="2"/>
      <c r="E426" s="2"/>
    </row>
    <row r="427" spans="4:5" ht="12.5">
      <c r="D427" s="2"/>
      <c r="E427" s="2"/>
    </row>
    <row r="428" spans="4:5" ht="12.5">
      <c r="D428" s="2"/>
      <c r="E428" s="2"/>
    </row>
    <row r="429" spans="4:5" ht="12.5">
      <c r="D429" s="2"/>
      <c r="E429" s="2"/>
    </row>
    <row r="430" spans="4:5" ht="12.5">
      <c r="D430" s="2"/>
      <c r="E430" s="2"/>
    </row>
    <row r="431" spans="4:5" ht="12.5">
      <c r="D431" s="2"/>
      <c r="E431" s="2"/>
    </row>
    <row r="432" spans="4:5" ht="12.5">
      <c r="D432" s="2"/>
      <c r="E432" s="2"/>
    </row>
    <row r="433" spans="4:5" ht="12.5">
      <c r="D433" s="2"/>
      <c r="E433" s="2"/>
    </row>
    <row r="434" spans="4:5" ht="12.5">
      <c r="D434" s="2"/>
      <c r="E434" s="2"/>
    </row>
    <row r="435" spans="4:5" ht="12.5">
      <c r="D435" s="2"/>
      <c r="E435" s="2"/>
    </row>
    <row r="436" spans="4:5" ht="12.5">
      <c r="D436" s="2"/>
      <c r="E436" s="2"/>
    </row>
    <row r="437" spans="4:5" ht="12.5">
      <c r="D437" s="2"/>
      <c r="E437" s="2"/>
    </row>
    <row r="438" spans="4:5" ht="12.5">
      <c r="D438" s="2"/>
      <c r="E438" s="2"/>
    </row>
    <row r="439" spans="4:5" ht="12.5">
      <c r="D439" s="2"/>
      <c r="E439" s="2"/>
    </row>
    <row r="440" spans="4:5" ht="12.5">
      <c r="D440" s="2"/>
      <c r="E440" s="2"/>
    </row>
    <row r="441" spans="4:5" ht="12.5">
      <c r="D441" s="2"/>
      <c r="E441" s="2"/>
    </row>
    <row r="442" spans="4:5" ht="12.5">
      <c r="D442" s="2"/>
      <c r="E442" s="2"/>
    </row>
    <row r="443" spans="4:5" ht="12.5">
      <c r="D443" s="2"/>
      <c r="E443" s="2"/>
    </row>
    <row r="444" spans="4:5" ht="12.5">
      <c r="D444" s="2"/>
      <c r="E444" s="2"/>
    </row>
    <row r="445" spans="4:5" ht="12.5">
      <c r="D445" s="2"/>
      <c r="E445" s="2"/>
    </row>
    <row r="446" spans="4:5" ht="12.5">
      <c r="D446" s="2"/>
      <c r="E446" s="2"/>
    </row>
    <row r="447" spans="4:5" ht="12.5">
      <c r="D447" s="2"/>
      <c r="E447" s="2"/>
    </row>
    <row r="448" spans="4:5" ht="12.5">
      <c r="D448" s="2"/>
      <c r="E448" s="2"/>
    </row>
    <row r="449" spans="4:5" ht="12.5">
      <c r="D449" s="2"/>
      <c r="E449" s="2"/>
    </row>
    <row r="450" spans="4:5" ht="12.5">
      <c r="D450" s="2"/>
      <c r="E450" s="2"/>
    </row>
    <row r="451" spans="4:5" ht="12.5">
      <c r="D451" s="2"/>
      <c r="E451" s="2"/>
    </row>
    <row r="452" spans="4:5" ht="12.5">
      <c r="D452" s="2"/>
      <c r="E452" s="2"/>
    </row>
    <row r="453" spans="4:5" ht="12.5">
      <c r="D453" s="2"/>
      <c r="E453" s="2"/>
    </row>
    <row r="454" spans="4:5" ht="12.5">
      <c r="D454" s="2"/>
      <c r="E454" s="2"/>
    </row>
    <row r="455" spans="4:5" ht="12.5">
      <c r="D455" s="2"/>
      <c r="E455" s="2"/>
    </row>
    <row r="456" spans="4:5" ht="12.5">
      <c r="D456" s="2"/>
      <c r="E456" s="2"/>
    </row>
    <row r="457" spans="4:5" ht="12.5">
      <c r="D457" s="2"/>
      <c r="E457" s="2"/>
    </row>
    <row r="458" spans="4:5" ht="12.5">
      <c r="D458" s="2"/>
      <c r="E458" s="2"/>
    </row>
    <row r="459" spans="4:5" ht="12.5">
      <c r="D459" s="2"/>
      <c r="E459" s="2"/>
    </row>
    <row r="460" spans="4:5" ht="12.5">
      <c r="D460" s="2"/>
      <c r="E460" s="2"/>
    </row>
    <row r="461" spans="4:5" ht="12.5">
      <c r="D461" s="2"/>
      <c r="E461" s="2"/>
    </row>
    <row r="462" spans="4:5" ht="12.5">
      <c r="D462" s="2"/>
      <c r="E462" s="2"/>
    </row>
    <row r="463" spans="4:5" ht="12.5">
      <c r="D463" s="2"/>
      <c r="E463" s="2"/>
    </row>
    <row r="464" spans="4:5" ht="12.5">
      <c r="D464" s="2"/>
      <c r="E464" s="2"/>
    </row>
    <row r="465" spans="4:5" ht="12.5">
      <c r="D465" s="2"/>
      <c r="E465" s="2"/>
    </row>
    <row r="466" spans="4:5" ht="12.5">
      <c r="D466" s="2"/>
      <c r="E466" s="2"/>
    </row>
    <row r="467" spans="4:5" ht="12.5">
      <c r="D467" s="2"/>
      <c r="E467" s="2"/>
    </row>
    <row r="468" spans="4:5" ht="12.5">
      <c r="D468" s="2"/>
      <c r="E468" s="2"/>
    </row>
    <row r="469" spans="4:5" ht="12.5">
      <c r="D469" s="2"/>
      <c r="E469" s="2"/>
    </row>
    <row r="470" spans="4:5" ht="12.5">
      <c r="D470" s="2"/>
      <c r="E470" s="2"/>
    </row>
    <row r="471" spans="4:5" ht="12.5">
      <c r="D471" s="2"/>
      <c r="E471" s="2"/>
    </row>
    <row r="472" spans="4:5" ht="12.5">
      <c r="D472" s="2"/>
      <c r="E472" s="2"/>
    </row>
    <row r="473" spans="4:5" ht="12.5">
      <c r="D473" s="2"/>
      <c r="E473" s="2"/>
    </row>
    <row r="474" spans="4:5" ht="12.5">
      <c r="D474" s="2"/>
      <c r="E474" s="2"/>
    </row>
    <row r="475" spans="4:5" ht="12.5">
      <c r="D475" s="2"/>
      <c r="E475" s="2"/>
    </row>
    <row r="476" spans="4:5" ht="12.5">
      <c r="D476" s="2"/>
      <c r="E476" s="2"/>
    </row>
    <row r="477" spans="4:5" ht="12.5">
      <c r="D477" s="2"/>
      <c r="E477" s="2"/>
    </row>
    <row r="478" spans="4:5" ht="12.5">
      <c r="D478" s="2"/>
      <c r="E478" s="2"/>
    </row>
    <row r="479" spans="4:5" ht="12.5">
      <c r="D479" s="2"/>
      <c r="E479" s="2"/>
    </row>
    <row r="480" spans="4:5" ht="12.5">
      <c r="D480" s="2"/>
      <c r="E480" s="2"/>
    </row>
    <row r="481" spans="4:5" ht="12.5">
      <c r="D481" s="2"/>
      <c r="E481" s="2"/>
    </row>
    <row r="482" spans="4:5" ht="12.5">
      <c r="D482" s="2"/>
      <c r="E482" s="2"/>
    </row>
    <row r="483" spans="4:5" ht="12.5">
      <c r="D483" s="2"/>
      <c r="E483" s="2"/>
    </row>
    <row r="484" spans="4:5" ht="12.5">
      <c r="D484" s="2"/>
      <c r="E484" s="2"/>
    </row>
    <row r="485" spans="4:5" ht="12.5">
      <c r="D485" s="2"/>
      <c r="E485" s="2"/>
    </row>
    <row r="486" spans="4:5" ht="12.5">
      <c r="D486" s="2"/>
      <c r="E486" s="2"/>
    </row>
    <row r="487" spans="4:5" ht="12.5">
      <c r="D487" s="2"/>
      <c r="E487" s="2"/>
    </row>
    <row r="488" spans="4:5" ht="12.5">
      <c r="D488" s="2"/>
      <c r="E488" s="2"/>
    </row>
    <row r="489" spans="4:5" ht="12.5">
      <c r="D489" s="2"/>
      <c r="E489" s="2"/>
    </row>
    <row r="490" spans="4:5" ht="12.5">
      <c r="D490" s="2"/>
      <c r="E490" s="2"/>
    </row>
    <row r="491" spans="4:5" ht="12.5">
      <c r="D491" s="2"/>
      <c r="E491" s="2"/>
    </row>
    <row r="492" spans="4:5" ht="12.5">
      <c r="D492" s="2"/>
      <c r="E492" s="2"/>
    </row>
    <row r="493" spans="4:5" ht="12.5">
      <c r="D493" s="2"/>
      <c r="E493" s="2"/>
    </row>
    <row r="494" spans="4:5" ht="12.5">
      <c r="D494" s="2"/>
      <c r="E494" s="2"/>
    </row>
    <row r="495" spans="4:5" ht="12.5">
      <c r="D495" s="2"/>
      <c r="E495" s="2"/>
    </row>
    <row r="496" spans="4:5" ht="12.5">
      <c r="D496" s="2"/>
      <c r="E496" s="2"/>
    </row>
    <row r="497" spans="4:5" ht="12.5">
      <c r="D497" s="2"/>
      <c r="E497" s="2"/>
    </row>
    <row r="498" spans="4:5" ht="12.5">
      <c r="D498" s="2"/>
      <c r="E498" s="2"/>
    </row>
    <row r="499" spans="4:5" ht="12.5">
      <c r="D499" s="2"/>
      <c r="E499" s="2"/>
    </row>
    <row r="500" spans="4:5" ht="12.5">
      <c r="D500" s="2"/>
      <c r="E500" s="2"/>
    </row>
    <row r="501" spans="4:5" ht="12.5">
      <c r="D501" s="2"/>
      <c r="E501" s="2"/>
    </row>
    <row r="502" spans="4:5" ht="12.5">
      <c r="D502" s="2"/>
      <c r="E502" s="2"/>
    </row>
    <row r="503" spans="4:5" ht="12.5">
      <c r="D503" s="2"/>
      <c r="E503" s="2"/>
    </row>
    <row r="504" spans="4:5" ht="12.5">
      <c r="D504" s="2"/>
      <c r="E504" s="2"/>
    </row>
    <row r="505" spans="4:5" ht="12.5">
      <c r="D505" s="2"/>
      <c r="E505" s="2"/>
    </row>
    <row r="506" spans="4:5" ht="12.5">
      <c r="D506" s="2"/>
      <c r="E506" s="2"/>
    </row>
    <row r="507" spans="4:5" ht="12.5">
      <c r="D507" s="2"/>
      <c r="E507" s="2"/>
    </row>
    <row r="508" spans="4:5" ht="12.5">
      <c r="D508" s="2"/>
      <c r="E508" s="2"/>
    </row>
    <row r="509" spans="4:5" ht="12.5">
      <c r="D509" s="2"/>
      <c r="E509" s="2"/>
    </row>
    <row r="510" spans="4:5" ht="12.5">
      <c r="D510" s="2"/>
      <c r="E510" s="2"/>
    </row>
    <row r="511" spans="4:5" ht="12.5">
      <c r="D511" s="2"/>
      <c r="E511" s="2"/>
    </row>
    <row r="512" spans="4:5" ht="12.5">
      <c r="D512" s="2"/>
      <c r="E512" s="2"/>
    </row>
    <row r="513" spans="4:5" ht="12.5">
      <c r="D513" s="2"/>
      <c r="E513" s="2"/>
    </row>
    <row r="514" spans="4:5" ht="12.5">
      <c r="D514" s="2"/>
      <c r="E514" s="2"/>
    </row>
    <row r="515" spans="4:5" ht="12.5">
      <c r="D515" s="2"/>
      <c r="E515" s="2"/>
    </row>
    <row r="516" spans="4:5" ht="12.5">
      <c r="D516" s="2"/>
      <c r="E516" s="2"/>
    </row>
    <row r="517" spans="4:5" ht="12.5">
      <c r="D517" s="2"/>
      <c r="E517" s="2"/>
    </row>
    <row r="518" spans="4:5" ht="12.5">
      <c r="D518" s="2"/>
      <c r="E518" s="2"/>
    </row>
    <row r="519" spans="4:5" ht="12.5">
      <c r="D519" s="2"/>
      <c r="E519" s="2"/>
    </row>
    <row r="520" spans="4:5" ht="12.5">
      <c r="D520" s="2"/>
      <c r="E520" s="2"/>
    </row>
    <row r="521" spans="4:5" ht="12.5">
      <c r="D521" s="2"/>
      <c r="E521" s="2"/>
    </row>
    <row r="522" spans="4:5" ht="12.5">
      <c r="D522" s="2"/>
      <c r="E522" s="2"/>
    </row>
    <row r="523" spans="4:5" ht="12.5">
      <c r="D523" s="2"/>
      <c r="E523" s="2"/>
    </row>
    <row r="524" spans="4:5" ht="12.5">
      <c r="D524" s="2"/>
      <c r="E524" s="2"/>
    </row>
    <row r="525" spans="4:5" ht="12.5">
      <c r="D525" s="2"/>
      <c r="E525" s="2"/>
    </row>
    <row r="526" spans="4:5" ht="12.5">
      <c r="D526" s="2"/>
      <c r="E526" s="2"/>
    </row>
    <row r="527" spans="4:5" ht="12.5">
      <c r="D527" s="2"/>
      <c r="E527" s="2"/>
    </row>
    <row r="528" spans="4:5" ht="12.5">
      <c r="D528" s="2"/>
      <c r="E528" s="2"/>
    </row>
    <row r="529" spans="4:5" ht="12.5">
      <c r="D529" s="2"/>
      <c r="E529" s="2"/>
    </row>
    <row r="530" spans="4:5" ht="12.5">
      <c r="D530" s="2"/>
      <c r="E530" s="2"/>
    </row>
    <row r="531" spans="4:5" ht="12.5">
      <c r="D531" s="2"/>
      <c r="E531" s="2"/>
    </row>
    <row r="532" spans="4:5" ht="12.5">
      <c r="D532" s="2"/>
      <c r="E532" s="2"/>
    </row>
    <row r="533" spans="4:5" ht="12.5">
      <c r="D533" s="2"/>
      <c r="E533" s="2"/>
    </row>
    <row r="534" spans="4:5" ht="12.5">
      <c r="D534" s="2"/>
      <c r="E534" s="2"/>
    </row>
    <row r="535" spans="4:5" ht="12.5">
      <c r="D535" s="2"/>
      <c r="E535" s="2"/>
    </row>
    <row r="536" spans="4:5" ht="12.5">
      <c r="D536" s="2"/>
      <c r="E536" s="2"/>
    </row>
    <row r="537" spans="4:5" ht="12.5">
      <c r="D537" s="2"/>
      <c r="E537" s="2"/>
    </row>
    <row r="538" spans="4:5" ht="12.5">
      <c r="D538" s="2"/>
      <c r="E538" s="2"/>
    </row>
    <row r="539" spans="4:5" ht="12.5">
      <c r="D539" s="2"/>
      <c r="E539" s="2"/>
    </row>
    <row r="540" spans="4:5" ht="12.5">
      <c r="D540" s="2"/>
      <c r="E540" s="2"/>
    </row>
    <row r="541" spans="4:5" ht="12.5">
      <c r="D541" s="2"/>
      <c r="E541" s="2"/>
    </row>
    <row r="542" spans="4:5" ht="12.5">
      <c r="D542" s="2"/>
      <c r="E542" s="2"/>
    </row>
    <row r="543" spans="4:5" ht="12.5">
      <c r="D543" s="2"/>
      <c r="E543" s="2"/>
    </row>
    <row r="544" spans="4:5" ht="12.5">
      <c r="D544" s="2"/>
      <c r="E544" s="2"/>
    </row>
    <row r="545" spans="4:5" ht="12.5">
      <c r="D545" s="2"/>
      <c r="E545" s="2"/>
    </row>
    <row r="546" spans="4:5" ht="12.5">
      <c r="D546" s="2"/>
      <c r="E546" s="2"/>
    </row>
    <row r="547" spans="4:5" ht="12.5">
      <c r="D547" s="2"/>
      <c r="E547" s="2"/>
    </row>
    <row r="548" spans="4:5" ht="12.5">
      <c r="D548" s="2"/>
      <c r="E548" s="2"/>
    </row>
    <row r="549" spans="4:5" ht="12.5">
      <c r="D549" s="2"/>
      <c r="E549" s="2"/>
    </row>
    <row r="550" spans="4:5" ht="12.5">
      <c r="D550" s="2"/>
      <c r="E550" s="2"/>
    </row>
    <row r="551" spans="4:5" ht="12.5">
      <c r="D551" s="2"/>
      <c r="E551" s="2"/>
    </row>
    <row r="552" spans="4:5" ht="12.5">
      <c r="D552" s="2"/>
      <c r="E552" s="2"/>
    </row>
    <row r="553" spans="4:5" ht="12.5">
      <c r="D553" s="2"/>
      <c r="E553" s="2"/>
    </row>
    <row r="554" spans="4:5" ht="12.5">
      <c r="D554" s="2"/>
      <c r="E554" s="2"/>
    </row>
    <row r="555" spans="4:5" ht="12.5">
      <c r="D555" s="2"/>
      <c r="E555" s="2"/>
    </row>
    <row r="556" spans="4:5" ht="12.5">
      <c r="D556" s="2"/>
      <c r="E556" s="2"/>
    </row>
    <row r="557" spans="4:5" ht="12.5">
      <c r="D557" s="2"/>
      <c r="E557" s="2"/>
    </row>
    <row r="558" spans="4:5" ht="12.5">
      <c r="D558" s="2"/>
      <c r="E558" s="2"/>
    </row>
    <row r="559" spans="4:5" ht="12.5">
      <c r="D559" s="2"/>
      <c r="E559" s="2"/>
    </row>
    <row r="560" spans="4:5" ht="12.5">
      <c r="D560" s="2"/>
      <c r="E560" s="2"/>
    </row>
    <row r="561" spans="4:5" ht="12.5">
      <c r="D561" s="2"/>
      <c r="E561" s="2"/>
    </row>
    <row r="562" spans="4:5" ht="12.5">
      <c r="D562" s="2"/>
      <c r="E562" s="2"/>
    </row>
    <row r="563" spans="4:5" ht="12.5">
      <c r="D563" s="2"/>
      <c r="E563" s="2"/>
    </row>
    <row r="564" spans="4:5" ht="12.5">
      <c r="D564" s="2"/>
      <c r="E564" s="2"/>
    </row>
    <row r="565" spans="4:5" ht="12.5">
      <c r="D565" s="2"/>
      <c r="E565" s="2"/>
    </row>
    <row r="566" spans="4:5" ht="12.5">
      <c r="D566" s="2"/>
      <c r="E566" s="2"/>
    </row>
    <row r="567" spans="4:5" ht="12.5">
      <c r="D567" s="2"/>
      <c r="E567" s="2"/>
    </row>
    <row r="568" spans="4:5" ht="12.5">
      <c r="D568" s="2"/>
      <c r="E568" s="2"/>
    </row>
    <row r="569" spans="4:5" ht="12.5">
      <c r="D569" s="2"/>
      <c r="E569" s="2"/>
    </row>
    <row r="570" spans="4:5" ht="12.5">
      <c r="D570" s="2"/>
      <c r="E570" s="2"/>
    </row>
    <row r="571" spans="4:5" ht="12.5">
      <c r="D571" s="2"/>
      <c r="E571" s="2"/>
    </row>
    <row r="572" spans="4:5" ht="12.5">
      <c r="D572" s="2"/>
      <c r="E572" s="2"/>
    </row>
    <row r="573" spans="4:5" ht="12.5">
      <c r="D573" s="2"/>
      <c r="E573" s="2"/>
    </row>
    <row r="574" spans="4:5" ht="12.5">
      <c r="D574" s="2"/>
      <c r="E574" s="2"/>
    </row>
    <row r="575" spans="4:5" ht="12.5">
      <c r="D575" s="2"/>
      <c r="E575" s="2"/>
    </row>
    <row r="576" spans="4:5" ht="12.5">
      <c r="D576" s="2"/>
      <c r="E576" s="2"/>
    </row>
    <row r="577" spans="4:5" ht="12.5">
      <c r="D577" s="2"/>
      <c r="E577" s="2"/>
    </row>
    <row r="578" spans="4:5" ht="12.5">
      <c r="D578" s="2"/>
      <c r="E578" s="2"/>
    </row>
    <row r="579" spans="4:5" ht="12.5">
      <c r="D579" s="2"/>
      <c r="E579" s="2"/>
    </row>
    <row r="580" spans="4:5" ht="12.5">
      <c r="D580" s="2"/>
      <c r="E580" s="2"/>
    </row>
    <row r="581" spans="4:5" ht="12.5">
      <c r="D581" s="2"/>
      <c r="E581" s="2"/>
    </row>
    <row r="582" spans="4:5" ht="12.5">
      <c r="D582" s="2"/>
      <c r="E582" s="2"/>
    </row>
    <row r="583" spans="4:5" ht="12.5">
      <c r="D583" s="2"/>
      <c r="E583" s="2"/>
    </row>
    <row r="584" spans="4:5" ht="12.5">
      <c r="D584" s="2"/>
      <c r="E584" s="2"/>
    </row>
    <row r="585" spans="4:5" ht="12.5">
      <c r="D585" s="2"/>
      <c r="E585" s="2"/>
    </row>
    <row r="586" spans="4:5" ht="12.5">
      <c r="D586" s="2"/>
      <c r="E586" s="2"/>
    </row>
    <row r="587" spans="4:5" ht="12.5">
      <c r="D587" s="2"/>
      <c r="E587" s="2"/>
    </row>
    <row r="588" spans="4:5" ht="12.5">
      <c r="D588" s="2"/>
      <c r="E588" s="2"/>
    </row>
    <row r="589" spans="4:5" ht="12.5">
      <c r="D589" s="2"/>
      <c r="E589" s="2"/>
    </row>
    <row r="590" spans="4:5" ht="12.5">
      <c r="D590" s="2"/>
      <c r="E590" s="2"/>
    </row>
    <row r="591" spans="4:5" ht="12.5">
      <c r="D591" s="2"/>
      <c r="E591" s="2"/>
    </row>
    <row r="592" spans="4:5" ht="12.5">
      <c r="D592" s="2"/>
      <c r="E592" s="2"/>
    </row>
    <row r="593" spans="4:5" ht="12.5">
      <c r="D593" s="2"/>
      <c r="E593" s="2"/>
    </row>
    <row r="594" spans="4:5" ht="12.5">
      <c r="D594" s="2"/>
      <c r="E594" s="2"/>
    </row>
    <row r="595" spans="4:5" ht="12.5">
      <c r="D595" s="2"/>
      <c r="E595" s="2"/>
    </row>
    <row r="596" spans="4:5" ht="12.5">
      <c r="D596" s="2"/>
      <c r="E596" s="2"/>
    </row>
    <row r="597" spans="4:5" ht="12.5">
      <c r="D597" s="2"/>
      <c r="E597" s="2"/>
    </row>
    <row r="598" spans="4:5" ht="12.5">
      <c r="D598" s="2"/>
      <c r="E598" s="2"/>
    </row>
    <row r="599" spans="4:5" ht="12.5">
      <c r="D599" s="2"/>
      <c r="E599" s="2"/>
    </row>
    <row r="600" spans="4:5" ht="12.5">
      <c r="D600" s="2"/>
      <c r="E600" s="2"/>
    </row>
    <row r="601" spans="4:5" ht="12.5">
      <c r="D601" s="2"/>
      <c r="E601" s="2"/>
    </row>
    <row r="602" spans="4:5" ht="12.5">
      <c r="D602" s="2"/>
      <c r="E602" s="2"/>
    </row>
    <row r="603" spans="4:5" ht="12.5">
      <c r="D603" s="2"/>
      <c r="E603" s="2"/>
    </row>
    <row r="604" spans="4:5" ht="12.5">
      <c r="D604" s="2"/>
      <c r="E604" s="2"/>
    </row>
    <row r="605" spans="4:5" ht="12.5">
      <c r="D605" s="2"/>
      <c r="E605" s="2"/>
    </row>
    <row r="606" spans="4:5" ht="12.5">
      <c r="D606" s="2"/>
      <c r="E606" s="2"/>
    </row>
    <row r="607" spans="4:5" ht="12.5">
      <c r="D607" s="2"/>
      <c r="E607" s="2"/>
    </row>
    <row r="608" spans="4:5" ht="12.5">
      <c r="D608" s="2"/>
      <c r="E608" s="2"/>
    </row>
    <row r="609" spans="4:5" ht="12.5">
      <c r="D609" s="2"/>
      <c r="E609" s="2"/>
    </row>
    <row r="610" spans="4:5" ht="12.5">
      <c r="D610" s="2"/>
      <c r="E610" s="2"/>
    </row>
    <row r="611" spans="4:5" ht="12.5">
      <c r="D611" s="2"/>
      <c r="E611" s="2"/>
    </row>
    <row r="612" spans="4:5" ht="12.5">
      <c r="D612" s="2"/>
      <c r="E612" s="2"/>
    </row>
    <row r="613" spans="4:5" ht="12.5">
      <c r="D613" s="2"/>
      <c r="E613" s="2"/>
    </row>
    <row r="614" spans="4:5" ht="12.5">
      <c r="D614" s="2"/>
      <c r="E614" s="2"/>
    </row>
    <row r="615" spans="4:5" ht="12.5">
      <c r="D615" s="2"/>
      <c r="E615" s="2"/>
    </row>
    <row r="616" spans="4:5" ht="12.5">
      <c r="D616" s="2"/>
      <c r="E616" s="2"/>
    </row>
    <row r="617" spans="4:5" ht="12.5">
      <c r="D617" s="2"/>
      <c r="E617" s="2"/>
    </row>
    <row r="618" spans="4:5" ht="12.5">
      <c r="D618" s="2"/>
      <c r="E618" s="2"/>
    </row>
    <row r="619" spans="4:5" ht="12.5">
      <c r="D619" s="2"/>
      <c r="E619" s="2"/>
    </row>
    <row r="620" spans="4:5" ht="12.5">
      <c r="D620" s="2"/>
      <c r="E620" s="2"/>
    </row>
    <row r="621" spans="4:5" ht="12.5">
      <c r="D621" s="2"/>
      <c r="E621" s="2"/>
    </row>
    <row r="622" spans="4:5" ht="12.5">
      <c r="D622" s="2"/>
      <c r="E622" s="2"/>
    </row>
    <row r="623" spans="4:5" ht="12.5">
      <c r="D623" s="2"/>
      <c r="E623" s="2"/>
    </row>
    <row r="624" spans="4:5" ht="12.5">
      <c r="D624" s="2"/>
      <c r="E624" s="2"/>
    </row>
    <row r="625" spans="4:5" ht="12.5">
      <c r="D625" s="2"/>
      <c r="E625" s="2"/>
    </row>
    <row r="626" spans="4:5" ht="12.5">
      <c r="D626" s="2"/>
      <c r="E626" s="2"/>
    </row>
    <row r="627" spans="4:5" ht="12.5">
      <c r="D627" s="2"/>
      <c r="E627" s="2"/>
    </row>
    <row r="628" spans="4:5" ht="12.5">
      <c r="D628" s="2"/>
      <c r="E628" s="2"/>
    </row>
    <row r="629" spans="4:5" ht="12.5">
      <c r="D629" s="2"/>
      <c r="E629" s="2"/>
    </row>
    <row r="630" spans="4:5" ht="12.5">
      <c r="D630" s="2"/>
      <c r="E630" s="2"/>
    </row>
    <row r="631" spans="4:5" ht="12.5">
      <c r="D631" s="2"/>
      <c r="E631" s="2"/>
    </row>
    <row r="632" spans="4:5" ht="12.5">
      <c r="D632" s="2"/>
      <c r="E632" s="2"/>
    </row>
    <row r="633" spans="4:5" ht="12.5">
      <c r="D633" s="2"/>
      <c r="E633" s="2"/>
    </row>
    <row r="634" spans="4:5" ht="12.5">
      <c r="D634" s="2"/>
      <c r="E634" s="2"/>
    </row>
    <row r="635" spans="4:5" ht="12.5">
      <c r="D635" s="2"/>
      <c r="E635" s="2"/>
    </row>
    <row r="636" spans="4:5" ht="12.5">
      <c r="D636" s="2"/>
      <c r="E636" s="2"/>
    </row>
    <row r="637" spans="4:5" ht="12.5">
      <c r="D637" s="2"/>
      <c r="E637" s="2"/>
    </row>
    <row r="638" spans="4:5" ht="12.5">
      <c r="D638" s="2"/>
      <c r="E638" s="2"/>
    </row>
    <row r="639" spans="4:5" ht="12.5">
      <c r="D639" s="2"/>
      <c r="E639" s="2"/>
    </row>
    <row r="640" spans="4:5" ht="12.5">
      <c r="D640" s="2"/>
      <c r="E640" s="2"/>
    </row>
    <row r="641" spans="4:5" ht="12.5">
      <c r="D641" s="2"/>
      <c r="E641" s="2"/>
    </row>
    <row r="642" spans="4:5" ht="12.5">
      <c r="D642" s="2"/>
      <c r="E642" s="2"/>
    </row>
    <row r="643" spans="4:5" ht="12.5">
      <c r="D643" s="2"/>
      <c r="E643" s="2"/>
    </row>
    <row r="644" spans="4:5" ht="12.5">
      <c r="D644" s="2"/>
      <c r="E644" s="2"/>
    </row>
    <row r="645" spans="4:5" ht="12.5">
      <c r="D645" s="2"/>
      <c r="E645" s="2"/>
    </row>
    <row r="646" spans="4:5" ht="12.5">
      <c r="D646" s="2"/>
      <c r="E646" s="2"/>
    </row>
    <row r="647" spans="4:5" ht="12.5">
      <c r="D647" s="2"/>
      <c r="E647" s="2"/>
    </row>
    <row r="648" spans="4:5" ht="12.5">
      <c r="D648" s="2"/>
      <c r="E648" s="2"/>
    </row>
    <row r="649" spans="4:5" ht="12.5">
      <c r="D649" s="2"/>
      <c r="E649" s="2"/>
    </row>
    <row r="650" spans="4:5" ht="12.5">
      <c r="D650" s="2"/>
      <c r="E650" s="2"/>
    </row>
    <row r="651" spans="4:5" ht="12.5">
      <c r="D651" s="2"/>
      <c r="E651" s="2"/>
    </row>
    <row r="652" spans="4:5" ht="12.5">
      <c r="D652" s="2"/>
      <c r="E652" s="2"/>
    </row>
    <row r="653" spans="4:5" ht="12.5">
      <c r="D653" s="2"/>
      <c r="E653" s="2"/>
    </row>
    <row r="654" spans="4:5" ht="12.5">
      <c r="D654" s="2"/>
      <c r="E654" s="2"/>
    </row>
    <row r="655" spans="4:5" ht="12.5">
      <c r="D655" s="2"/>
      <c r="E655" s="2"/>
    </row>
    <row r="656" spans="4:5" ht="12.5">
      <c r="D656" s="2"/>
      <c r="E656" s="2"/>
    </row>
    <row r="657" spans="4:5" ht="12.5">
      <c r="D657" s="2"/>
      <c r="E657" s="2"/>
    </row>
    <row r="658" spans="4:5" ht="12.5">
      <c r="D658" s="2"/>
      <c r="E658" s="2"/>
    </row>
    <row r="659" spans="4:5" ht="12.5">
      <c r="D659" s="2"/>
      <c r="E659" s="2"/>
    </row>
    <row r="660" spans="4:5" ht="12.5">
      <c r="D660" s="2"/>
      <c r="E660" s="2"/>
    </row>
    <row r="661" spans="4:5" ht="12.5">
      <c r="D661" s="2"/>
      <c r="E661" s="2"/>
    </row>
    <row r="662" spans="4:5" ht="12.5">
      <c r="D662" s="2"/>
      <c r="E662" s="2"/>
    </row>
    <row r="663" spans="4:5" ht="12.5">
      <c r="D663" s="2"/>
      <c r="E663" s="2"/>
    </row>
    <row r="664" spans="4:5" ht="12.5">
      <c r="D664" s="2"/>
      <c r="E664" s="2"/>
    </row>
    <row r="665" spans="4:5" ht="12.5">
      <c r="D665" s="2"/>
      <c r="E665" s="2"/>
    </row>
    <row r="666" spans="4:5" ht="12.5">
      <c r="D666" s="2"/>
      <c r="E666" s="2"/>
    </row>
    <row r="667" spans="4:5" ht="12.5">
      <c r="D667" s="2"/>
      <c r="E667" s="2"/>
    </row>
    <row r="668" spans="4:5" ht="12.5">
      <c r="D668" s="2"/>
      <c r="E668" s="2"/>
    </row>
    <row r="669" spans="4:5" ht="12.5">
      <c r="D669" s="2"/>
      <c r="E669" s="2"/>
    </row>
    <row r="670" spans="4:5" ht="12.5">
      <c r="D670" s="2"/>
      <c r="E670" s="2"/>
    </row>
    <row r="671" spans="4:5" ht="12.5">
      <c r="D671" s="2"/>
      <c r="E671" s="2"/>
    </row>
    <row r="672" spans="4:5" ht="12.5">
      <c r="D672" s="2"/>
      <c r="E672" s="2"/>
    </row>
    <row r="673" spans="4:5" ht="12.5">
      <c r="D673" s="2"/>
      <c r="E673" s="2"/>
    </row>
    <row r="674" spans="4:5" ht="12.5">
      <c r="D674" s="2"/>
      <c r="E674" s="2"/>
    </row>
    <row r="675" spans="4:5" ht="12.5">
      <c r="D675" s="2"/>
      <c r="E675" s="2"/>
    </row>
    <row r="676" spans="4:5" ht="12.5">
      <c r="D676" s="2"/>
      <c r="E676" s="2"/>
    </row>
    <row r="677" spans="4:5" ht="12.5">
      <c r="D677" s="2"/>
      <c r="E677" s="2"/>
    </row>
    <row r="678" spans="4:5" ht="12.5">
      <c r="D678" s="2"/>
      <c r="E678" s="2"/>
    </row>
    <row r="679" spans="4:5" ht="12.5">
      <c r="D679" s="2"/>
      <c r="E679" s="2"/>
    </row>
    <row r="680" spans="4:5" ht="12.5">
      <c r="D680" s="2"/>
      <c r="E680" s="2"/>
    </row>
    <row r="681" spans="4:5" ht="12.5">
      <c r="D681" s="2"/>
      <c r="E681" s="2"/>
    </row>
    <row r="682" spans="4:5" ht="12.5">
      <c r="D682" s="2"/>
      <c r="E682" s="2"/>
    </row>
    <row r="683" spans="4:5" ht="12.5">
      <c r="D683" s="2"/>
      <c r="E683" s="2"/>
    </row>
    <row r="684" spans="4:5" ht="12.5">
      <c r="D684" s="2"/>
      <c r="E684" s="2"/>
    </row>
    <row r="685" spans="4:5" ht="12.5">
      <c r="D685" s="2"/>
      <c r="E685" s="2"/>
    </row>
    <row r="686" spans="4:5" ht="12.5">
      <c r="D686" s="2"/>
      <c r="E686" s="2"/>
    </row>
    <row r="687" spans="4:5" ht="12.5">
      <c r="D687" s="2"/>
      <c r="E687" s="2"/>
    </row>
    <row r="688" spans="4:5" ht="12.5">
      <c r="D688" s="2"/>
      <c r="E688" s="2"/>
    </row>
    <row r="689" spans="4:5" ht="12.5">
      <c r="D689" s="2"/>
      <c r="E689" s="2"/>
    </row>
    <row r="690" spans="4:5" ht="12.5">
      <c r="D690" s="2"/>
      <c r="E690" s="2"/>
    </row>
    <row r="691" spans="4:5" ht="12.5">
      <c r="D691" s="2"/>
      <c r="E691" s="2"/>
    </row>
    <row r="692" spans="4:5" ht="12.5">
      <c r="D692" s="2"/>
      <c r="E692" s="2"/>
    </row>
    <row r="693" spans="4:5" ht="12.5">
      <c r="D693" s="2"/>
      <c r="E693" s="2"/>
    </row>
    <row r="694" spans="4:5" ht="12.5">
      <c r="D694" s="2"/>
      <c r="E694" s="2"/>
    </row>
    <row r="695" spans="4:5" ht="12.5">
      <c r="D695" s="2"/>
      <c r="E695" s="2"/>
    </row>
    <row r="696" spans="4:5" ht="12.5">
      <c r="D696" s="2"/>
      <c r="E696" s="2"/>
    </row>
    <row r="697" spans="4:5" ht="12.5">
      <c r="D697" s="2"/>
      <c r="E697" s="2"/>
    </row>
    <row r="698" spans="4:5" ht="12.5">
      <c r="D698" s="2"/>
      <c r="E698" s="2"/>
    </row>
    <row r="699" spans="4:5" ht="12.5">
      <c r="D699" s="2"/>
      <c r="E699" s="2"/>
    </row>
    <row r="700" spans="4:5" ht="12.5">
      <c r="D700" s="2"/>
      <c r="E700" s="2"/>
    </row>
    <row r="701" spans="4:5" ht="12.5">
      <c r="D701" s="2"/>
      <c r="E701" s="2"/>
    </row>
    <row r="702" spans="4:5" ht="12.5">
      <c r="D702" s="2"/>
      <c r="E702" s="2"/>
    </row>
    <row r="703" spans="4:5" ht="12.5">
      <c r="D703" s="2"/>
      <c r="E703" s="2"/>
    </row>
    <row r="704" spans="4:5" ht="12.5">
      <c r="D704" s="2"/>
      <c r="E704" s="2"/>
    </row>
    <row r="705" spans="4:5" ht="12.5">
      <c r="D705" s="2"/>
      <c r="E705" s="2"/>
    </row>
    <row r="706" spans="4:5" ht="12.5">
      <c r="D706" s="2"/>
      <c r="E706" s="2"/>
    </row>
    <row r="707" spans="4:5" ht="12.5">
      <c r="D707" s="2"/>
      <c r="E707" s="2"/>
    </row>
    <row r="708" spans="4:5" ht="12.5">
      <c r="D708" s="2"/>
      <c r="E708" s="2"/>
    </row>
    <row r="709" spans="4:5" ht="12.5">
      <c r="D709" s="2"/>
      <c r="E709" s="2"/>
    </row>
    <row r="710" spans="4:5" ht="12.5">
      <c r="D710" s="2"/>
      <c r="E710" s="2"/>
    </row>
    <row r="711" spans="4:5" ht="12.5">
      <c r="D711" s="2"/>
      <c r="E711" s="2"/>
    </row>
    <row r="712" spans="4:5" ht="12.5">
      <c r="D712" s="2"/>
      <c r="E712" s="2"/>
    </row>
    <row r="713" spans="4:5" ht="12.5">
      <c r="D713" s="2"/>
      <c r="E713" s="2"/>
    </row>
    <row r="714" spans="4:5" ht="12.5">
      <c r="D714" s="2"/>
      <c r="E714" s="2"/>
    </row>
    <row r="715" spans="4:5" ht="12.5">
      <c r="D715" s="2"/>
      <c r="E715" s="2"/>
    </row>
    <row r="716" spans="4:5" ht="12.5">
      <c r="D716" s="2"/>
      <c r="E716" s="2"/>
    </row>
    <row r="717" spans="4:5" ht="12.5">
      <c r="D717" s="2"/>
      <c r="E717" s="2"/>
    </row>
    <row r="718" spans="4:5" ht="12.5">
      <c r="D718" s="2"/>
      <c r="E718" s="2"/>
    </row>
    <row r="719" spans="4:5" ht="12.5">
      <c r="D719" s="2"/>
      <c r="E719" s="2"/>
    </row>
    <row r="720" spans="4:5" ht="12.5">
      <c r="D720" s="2"/>
      <c r="E720" s="2"/>
    </row>
    <row r="721" spans="4:5" ht="12.5">
      <c r="D721" s="2"/>
      <c r="E721" s="2"/>
    </row>
    <row r="722" spans="4:5" ht="12.5">
      <c r="D722" s="2"/>
      <c r="E722" s="2"/>
    </row>
    <row r="723" spans="4:5" ht="12.5">
      <c r="D723" s="2"/>
      <c r="E723" s="2"/>
    </row>
    <row r="724" spans="4:5" ht="12.5">
      <c r="D724" s="2"/>
      <c r="E724" s="2"/>
    </row>
    <row r="725" spans="4:5" ht="12.5">
      <c r="D725" s="2"/>
      <c r="E725" s="2"/>
    </row>
    <row r="726" spans="4:5" ht="12.5">
      <c r="D726" s="2"/>
      <c r="E726" s="2"/>
    </row>
    <row r="727" spans="4:5" ht="12.5">
      <c r="D727" s="2"/>
      <c r="E727" s="2"/>
    </row>
    <row r="728" spans="4:5" ht="12.5">
      <c r="D728" s="2"/>
      <c r="E728" s="2"/>
    </row>
    <row r="729" spans="4:5" ht="12.5">
      <c r="D729" s="2"/>
      <c r="E729" s="2"/>
    </row>
    <row r="730" spans="4:5" ht="12.5">
      <c r="D730" s="2"/>
      <c r="E730" s="2"/>
    </row>
    <row r="731" spans="4:5" ht="12.5">
      <c r="D731" s="2"/>
      <c r="E731" s="2"/>
    </row>
    <row r="732" spans="4:5" ht="12.5">
      <c r="D732" s="2"/>
      <c r="E732" s="2"/>
    </row>
    <row r="733" spans="4:5" ht="12.5">
      <c r="D733" s="2"/>
      <c r="E733" s="2"/>
    </row>
    <row r="734" spans="4:5" ht="12.5">
      <c r="D734" s="2"/>
      <c r="E734" s="2"/>
    </row>
    <row r="735" spans="4:5" ht="12.5">
      <c r="D735" s="2"/>
      <c r="E735" s="2"/>
    </row>
    <row r="736" spans="4:5" ht="12.5">
      <c r="D736" s="2"/>
      <c r="E736" s="2"/>
    </row>
    <row r="737" spans="4:5" ht="12.5">
      <c r="D737" s="2"/>
      <c r="E737" s="2"/>
    </row>
    <row r="738" spans="4:5" ht="12.5">
      <c r="D738" s="2"/>
      <c r="E738" s="2"/>
    </row>
    <row r="739" spans="4:5" ht="12.5">
      <c r="D739" s="2"/>
      <c r="E739" s="2"/>
    </row>
    <row r="740" spans="4:5" ht="12.5">
      <c r="D740" s="2"/>
      <c r="E740" s="2"/>
    </row>
    <row r="741" spans="4:5" ht="12.5">
      <c r="D741" s="2"/>
      <c r="E741" s="2"/>
    </row>
    <row r="742" spans="4:5" ht="12.5">
      <c r="D742" s="2"/>
      <c r="E742" s="2"/>
    </row>
    <row r="743" spans="4:5" ht="12.5">
      <c r="D743" s="2"/>
      <c r="E743" s="2"/>
    </row>
    <row r="744" spans="4:5" ht="12.5">
      <c r="D744" s="2"/>
      <c r="E744" s="2"/>
    </row>
    <row r="745" spans="4:5" ht="12.5">
      <c r="D745" s="2"/>
      <c r="E745" s="2"/>
    </row>
    <row r="746" spans="4:5" ht="12.5">
      <c r="D746" s="2"/>
      <c r="E746" s="2"/>
    </row>
    <row r="747" spans="4:5" ht="12.5">
      <c r="D747" s="2"/>
      <c r="E747" s="2"/>
    </row>
    <row r="748" spans="4:5" ht="12.5">
      <c r="D748" s="2"/>
      <c r="E748" s="2"/>
    </row>
    <row r="749" spans="4:5" ht="12.5">
      <c r="D749" s="2"/>
      <c r="E749" s="2"/>
    </row>
    <row r="750" spans="4:5" ht="12.5">
      <c r="D750" s="2"/>
      <c r="E750" s="2"/>
    </row>
    <row r="751" spans="4:5" ht="12.5">
      <c r="D751" s="2"/>
      <c r="E751" s="2"/>
    </row>
    <row r="752" spans="4:5" ht="12.5">
      <c r="D752" s="2"/>
      <c r="E752" s="2"/>
    </row>
    <row r="753" spans="4:5" ht="12.5">
      <c r="D753" s="2"/>
      <c r="E753" s="2"/>
    </row>
    <row r="754" spans="4:5" ht="12.5">
      <c r="D754" s="2"/>
      <c r="E754" s="2"/>
    </row>
    <row r="755" spans="4:5" ht="12.5">
      <c r="D755" s="2"/>
      <c r="E755" s="2"/>
    </row>
    <row r="756" spans="4:5" ht="12.5">
      <c r="D756" s="2"/>
      <c r="E756" s="2"/>
    </row>
    <row r="757" spans="4:5" ht="12.5">
      <c r="D757" s="2"/>
      <c r="E757" s="2"/>
    </row>
    <row r="758" spans="4:5" ht="12.5">
      <c r="D758" s="2"/>
      <c r="E758" s="2"/>
    </row>
    <row r="759" spans="4:5" ht="12.5">
      <c r="D759" s="2"/>
      <c r="E759" s="2"/>
    </row>
    <row r="760" spans="4:5" ht="12.5">
      <c r="D760" s="2"/>
      <c r="E760" s="2"/>
    </row>
    <row r="761" spans="4:5" ht="12.5">
      <c r="D761" s="2"/>
      <c r="E761" s="2"/>
    </row>
    <row r="762" spans="4:5" ht="12.5">
      <c r="D762" s="2"/>
      <c r="E762" s="2"/>
    </row>
    <row r="763" spans="4:5" ht="12.5">
      <c r="D763" s="2"/>
      <c r="E763" s="2"/>
    </row>
    <row r="764" spans="4:5" ht="12.5">
      <c r="D764" s="2"/>
      <c r="E764" s="2"/>
    </row>
    <row r="765" spans="4:5" ht="12.5">
      <c r="D765" s="2"/>
      <c r="E765" s="2"/>
    </row>
    <row r="766" spans="4:5" ht="12.5">
      <c r="D766" s="2"/>
      <c r="E766" s="2"/>
    </row>
    <row r="767" spans="4:5" ht="12.5">
      <c r="D767" s="2"/>
      <c r="E767" s="2"/>
    </row>
    <row r="768" spans="4:5" ht="12.5">
      <c r="D768" s="2"/>
      <c r="E768" s="2"/>
    </row>
    <row r="769" spans="4:5" ht="12.5">
      <c r="D769" s="2"/>
      <c r="E769" s="2"/>
    </row>
    <row r="770" spans="4:5" ht="12.5">
      <c r="D770" s="2"/>
      <c r="E770" s="2"/>
    </row>
    <row r="771" spans="4:5" ht="12.5">
      <c r="D771" s="2"/>
      <c r="E771" s="2"/>
    </row>
    <row r="772" spans="4:5" ht="12.5">
      <c r="D772" s="2"/>
      <c r="E772" s="2"/>
    </row>
    <row r="773" spans="4:5" ht="12.5">
      <c r="D773" s="2"/>
      <c r="E773" s="2"/>
    </row>
    <row r="774" spans="4:5" ht="12.5">
      <c r="D774" s="2"/>
      <c r="E774" s="2"/>
    </row>
    <row r="775" spans="4:5" ht="12.5">
      <c r="D775" s="2"/>
      <c r="E775" s="2"/>
    </row>
    <row r="776" spans="4:5" ht="12.5">
      <c r="D776" s="2"/>
      <c r="E776" s="2"/>
    </row>
    <row r="777" spans="4:5" ht="12.5">
      <c r="D777" s="2"/>
      <c r="E777" s="2"/>
    </row>
    <row r="778" spans="4:5" ht="12.5">
      <c r="D778" s="2"/>
      <c r="E778" s="2"/>
    </row>
    <row r="779" spans="4:5" ht="12.5">
      <c r="D779" s="2"/>
      <c r="E779" s="2"/>
    </row>
    <row r="780" spans="4:5" ht="12.5">
      <c r="D780" s="2"/>
      <c r="E780" s="2"/>
    </row>
    <row r="781" spans="4:5" ht="12.5">
      <c r="D781" s="2"/>
      <c r="E781" s="2"/>
    </row>
    <row r="782" spans="4:5" ht="12.5">
      <c r="D782" s="2"/>
      <c r="E782" s="2"/>
    </row>
    <row r="783" spans="4:5" ht="12.5">
      <c r="D783" s="2"/>
      <c r="E783" s="2"/>
    </row>
    <row r="784" spans="4:5" ht="12.5">
      <c r="D784" s="2"/>
      <c r="E784" s="2"/>
    </row>
    <row r="785" spans="4:5" ht="12.5">
      <c r="D785" s="2"/>
      <c r="E785" s="2"/>
    </row>
    <row r="786" spans="4:5" ht="12.5">
      <c r="D786" s="2"/>
      <c r="E786" s="2"/>
    </row>
    <row r="787" spans="4:5" ht="12.5">
      <c r="D787" s="2"/>
      <c r="E787" s="2"/>
    </row>
    <row r="788" spans="4:5" ht="12.5">
      <c r="D788" s="2"/>
      <c r="E788" s="2"/>
    </row>
    <row r="789" spans="4:5" ht="12.5">
      <c r="D789" s="2"/>
      <c r="E789" s="2"/>
    </row>
    <row r="790" spans="4:5" ht="12.5">
      <c r="D790" s="2"/>
      <c r="E790" s="2"/>
    </row>
    <row r="791" spans="4:5" ht="12.5">
      <c r="D791" s="2"/>
      <c r="E791" s="2"/>
    </row>
    <row r="792" spans="4:5" ht="12.5">
      <c r="D792" s="2"/>
      <c r="E792" s="2"/>
    </row>
    <row r="793" spans="4:5" ht="12.5">
      <c r="D793" s="2"/>
      <c r="E793" s="2"/>
    </row>
    <row r="794" spans="4:5" ht="12.5">
      <c r="D794" s="2"/>
      <c r="E794" s="2"/>
    </row>
    <row r="795" spans="4:5" ht="12.5">
      <c r="D795" s="2"/>
      <c r="E795" s="2"/>
    </row>
    <row r="796" spans="4:5" ht="12.5">
      <c r="D796" s="2"/>
      <c r="E796" s="2"/>
    </row>
    <row r="797" spans="4:5" ht="12.5">
      <c r="D797" s="2"/>
      <c r="E797" s="2"/>
    </row>
    <row r="798" spans="4:5" ht="12.5">
      <c r="D798" s="2"/>
      <c r="E798" s="2"/>
    </row>
    <row r="799" spans="4:5" ht="12.5">
      <c r="D799" s="2"/>
      <c r="E799" s="2"/>
    </row>
    <row r="800" spans="4:5" ht="12.5">
      <c r="D800" s="2"/>
      <c r="E800" s="2"/>
    </row>
    <row r="801" spans="4:5" ht="12.5">
      <c r="D801" s="2"/>
      <c r="E801" s="2"/>
    </row>
    <row r="802" spans="4:5" ht="12.5">
      <c r="D802" s="2"/>
      <c r="E802" s="2"/>
    </row>
    <row r="803" spans="4:5" ht="12.5">
      <c r="D803" s="2"/>
      <c r="E803" s="2"/>
    </row>
    <row r="804" spans="4:5" ht="12.5">
      <c r="D804" s="2"/>
      <c r="E804" s="2"/>
    </row>
    <row r="805" spans="4:5" ht="12.5">
      <c r="D805" s="2"/>
      <c r="E805" s="2"/>
    </row>
    <row r="806" spans="4:5" ht="12.5">
      <c r="D806" s="2"/>
      <c r="E806" s="2"/>
    </row>
    <row r="807" spans="4:5" ht="12.5">
      <c r="D807" s="2"/>
      <c r="E807" s="2"/>
    </row>
    <row r="808" spans="4:5" ht="12.5">
      <c r="D808" s="2"/>
      <c r="E808" s="2"/>
    </row>
    <row r="809" spans="4:5" ht="12.5">
      <c r="D809" s="2"/>
      <c r="E809" s="2"/>
    </row>
    <row r="810" spans="4:5" ht="12.5">
      <c r="D810" s="2"/>
      <c r="E810" s="2"/>
    </row>
    <row r="811" spans="4:5" ht="12.5">
      <c r="D811" s="2"/>
      <c r="E811" s="2"/>
    </row>
    <row r="812" spans="4:5" ht="12.5">
      <c r="D812" s="2"/>
      <c r="E812" s="2"/>
    </row>
    <row r="813" spans="4:5" ht="12.5">
      <c r="D813" s="2"/>
      <c r="E813" s="2"/>
    </row>
    <row r="814" spans="4:5" ht="12.5">
      <c r="D814" s="2"/>
      <c r="E814" s="2"/>
    </row>
    <row r="815" spans="4:5" ht="12.5">
      <c r="D815" s="2"/>
      <c r="E815" s="2"/>
    </row>
    <row r="816" spans="4:5" ht="12.5">
      <c r="D816" s="2"/>
      <c r="E816" s="2"/>
    </row>
    <row r="817" spans="4:5" ht="12.5">
      <c r="D817" s="2"/>
      <c r="E817" s="2"/>
    </row>
    <row r="818" spans="4:5" ht="12.5">
      <c r="D818" s="2"/>
      <c r="E818" s="2"/>
    </row>
    <row r="819" spans="4:5" ht="12.5">
      <c r="D819" s="2"/>
      <c r="E819" s="2"/>
    </row>
    <row r="820" spans="4:5" ht="12.5">
      <c r="D820" s="2"/>
      <c r="E820" s="2"/>
    </row>
    <row r="821" spans="4:5" ht="12.5">
      <c r="D821" s="2"/>
      <c r="E821" s="2"/>
    </row>
    <row r="822" spans="4:5" ht="12.5">
      <c r="D822" s="2"/>
      <c r="E822" s="2"/>
    </row>
    <row r="823" spans="4:5" ht="12.5">
      <c r="D823" s="2"/>
      <c r="E823" s="2"/>
    </row>
    <row r="824" spans="4:5" ht="12.5">
      <c r="D824" s="2"/>
      <c r="E824" s="2"/>
    </row>
    <row r="825" spans="4:5" ht="12.5">
      <c r="D825" s="2"/>
      <c r="E825" s="2"/>
    </row>
    <row r="826" spans="4:5" ht="12.5">
      <c r="D826" s="2"/>
      <c r="E826" s="2"/>
    </row>
    <row r="827" spans="4:5" ht="12.5">
      <c r="D827" s="2"/>
      <c r="E827" s="2"/>
    </row>
    <row r="828" spans="4:5" ht="12.5">
      <c r="D828" s="2"/>
      <c r="E828" s="2"/>
    </row>
    <row r="829" spans="4:5" ht="12.5">
      <c r="D829" s="2"/>
      <c r="E829" s="2"/>
    </row>
    <row r="830" spans="4:5" ht="12.5">
      <c r="D830" s="2"/>
      <c r="E830" s="2"/>
    </row>
    <row r="831" spans="4:5" ht="12.5">
      <c r="D831" s="2"/>
      <c r="E831" s="2"/>
    </row>
    <row r="832" spans="4:5" ht="12.5">
      <c r="D832" s="2"/>
      <c r="E832" s="2"/>
    </row>
    <row r="833" spans="4:5" ht="12.5">
      <c r="D833" s="2"/>
      <c r="E833" s="2"/>
    </row>
    <row r="834" spans="4:5" ht="12.5">
      <c r="D834" s="2"/>
      <c r="E834" s="2"/>
    </row>
    <row r="835" spans="4:5" ht="12.5">
      <c r="D835" s="2"/>
      <c r="E835" s="2"/>
    </row>
    <row r="836" spans="4:5" ht="12.5">
      <c r="D836" s="2"/>
      <c r="E836" s="2"/>
    </row>
    <row r="837" spans="4:5" ht="12.5">
      <c r="D837" s="2"/>
      <c r="E837" s="2"/>
    </row>
    <row r="838" spans="4:5" ht="12.5">
      <c r="D838" s="2"/>
      <c r="E838" s="2"/>
    </row>
    <row r="839" spans="4:5" ht="12.5">
      <c r="D839" s="2"/>
      <c r="E839" s="2"/>
    </row>
    <row r="840" spans="4:5" ht="12.5">
      <c r="D840" s="2"/>
      <c r="E840" s="2"/>
    </row>
    <row r="841" spans="4:5" ht="12.5">
      <c r="D841" s="2"/>
      <c r="E841" s="2"/>
    </row>
    <row r="842" spans="4:5" ht="12.5">
      <c r="D842" s="2"/>
      <c r="E842" s="2"/>
    </row>
    <row r="843" spans="4:5" ht="12.5">
      <c r="D843" s="2"/>
      <c r="E843" s="2"/>
    </row>
    <row r="844" spans="4:5" ht="12.5">
      <c r="D844" s="2"/>
      <c r="E844" s="2"/>
    </row>
    <row r="845" spans="4:5" ht="12.5">
      <c r="D845" s="2"/>
      <c r="E845" s="2"/>
    </row>
    <row r="846" spans="4:5" ht="12.5">
      <c r="D846" s="2"/>
      <c r="E846" s="2"/>
    </row>
    <row r="847" spans="4:5" ht="12.5">
      <c r="D847" s="2"/>
      <c r="E847" s="2"/>
    </row>
    <row r="848" spans="4:5" ht="12.5">
      <c r="D848" s="2"/>
      <c r="E848" s="2"/>
    </row>
    <row r="849" spans="4:5" ht="12.5">
      <c r="D849" s="2"/>
      <c r="E849" s="2"/>
    </row>
    <row r="850" spans="4:5" ht="12.5">
      <c r="D850" s="2"/>
      <c r="E850" s="2"/>
    </row>
    <row r="851" spans="4:5" ht="12.5">
      <c r="D851" s="2"/>
      <c r="E851" s="2"/>
    </row>
    <row r="852" spans="4:5" ht="12.5">
      <c r="D852" s="2"/>
      <c r="E852" s="2"/>
    </row>
    <row r="853" spans="4:5" ht="12.5">
      <c r="D853" s="2"/>
      <c r="E853" s="2"/>
    </row>
    <row r="854" spans="4:5" ht="12.5">
      <c r="D854" s="2"/>
      <c r="E854" s="2"/>
    </row>
    <row r="855" spans="4:5" ht="12.5">
      <c r="D855" s="2"/>
      <c r="E855" s="2"/>
    </row>
    <row r="856" spans="4:5" ht="12.5">
      <c r="D856" s="2"/>
      <c r="E856" s="2"/>
    </row>
    <row r="857" spans="4:5" ht="12.5">
      <c r="D857" s="2"/>
      <c r="E857" s="2"/>
    </row>
    <row r="858" spans="4:5" ht="12.5">
      <c r="D858" s="2"/>
      <c r="E858" s="2"/>
    </row>
    <row r="859" spans="4:5" ht="12.5">
      <c r="D859" s="2"/>
      <c r="E859" s="2"/>
    </row>
    <row r="860" spans="4:5" ht="12.5">
      <c r="D860" s="2"/>
      <c r="E860" s="2"/>
    </row>
    <row r="861" spans="4:5" ht="12.5">
      <c r="D861" s="2"/>
      <c r="E861" s="2"/>
    </row>
    <row r="862" spans="4:5" ht="12.5">
      <c r="D862" s="2"/>
      <c r="E862" s="2"/>
    </row>
    <row r="863" spans="4:5" ht="12.5">
      <c r="D863" s="2"/>
      <c r="E863" s="2"/>
    </row>
    <row r="864" spans="4:5" ht="12.5">
      <c r="D864" s="2"/>
      <c r="E864" s="2"/>
    </row>
    <row r="865" spans="4:5" ht="12.5">
      <c r="D865" s="2"/>
      <c r="E865" s="2"/>
    </row>
    <row r="866" spans="4:5" ht="12.5">
      <c r="D866" s="2"/>
      <c r="E866" s="2"/>
    </row>
    <row r="867" spans="4:5" ht="12.5">
      <c r="D867" s="2"/>
      <c r="E867" s="2"/>
    </row>
    <row r="868" spans="4:5" ht="12.5">
      <c r="D868" s="2"/>
      <c r="E868" s="2"/>
    </row>
    <row r="869" spans="4:5" ht="12.5">
      <c r="D869" s="2"/>
      <c r="E869" s="2"/>
    </row>
    <row r="870" spans="4:5" ht="12.5">
      <c r="D870" s="2"/>
      <c r="E870" s="2"/>
    </row>
    <row r="871" spans="4:5" ht="12.5">
      <c r="D871" s="2"/>
      <c r="E871" s="2"/>
    </row>
    <row r="872" spans="4:5" ht="12.5">
      <c r="D872" s="2"/>
      <c r="E872" s="2"/>
    </row>
    <row r="873" spans="4:5" ht="12.5">
      <c r="D873" s="2"/>
      <c r="E873" s="2"/>
    </row>
    <row r="874" spans="4:5" ht="12.5">
      <c r="D874" s="2"/>
      <c r="E874" s="2"/>
    </row>
    <row r="875" spans="4:5" ht="12.5">
      <c r="D875" s="2"/>
      <c r="E875" s="2"/>
    </row>
    <row r="876" spans="4:5" ht="12.5">
      <c r="D876" s="2"/>
      <c r="E876" s="2"/>
    </row>
    <row r="877" spans="4:5" ht="12.5">
      <c r="D877" s="2"/>
      <c r="E877" s="2"/>
    </row>
    <row r="878" spans="4:5" ht="12.5">
      <c r="D878" s="2"/>
      <c r="E878" s="2"/>
    </row>
    <row r="879" spans="4:5" ht="12.5">
      <c r="D879" s="2"/>
      <c r="E879" s="2"/>
    </row>
    <row r="880" spans="4:5" ht="12.5">
      <c r="D880" s="2"/>
      <c r="E880" s="2"/>
    </row>
    <row r="881" spans="4:5" ht="12.5">
      <c r="D881" s="2"/>
      <c r="E881" s="2"/>
    </row>
    <row r="882" spans="4:5" ht="12.5">
      <c r="D882" s="2"/>
      <c r="E882" s="2"/>
    </row>
    <row r="883" spans="4:5" ht="12.5">
      <c r="D883" s="2"/>
      <c r="E883" s="2"/>
    </row>
    <row r="884" spans="4:5" ht="12.5">
      <c r="D884" s="2"/>
      <c r="E884" s="2"/>
    </row>
    <row r="885" spans="4:5" ht="12.5">
      <c r="D885" s="2"/>
      <c r="E885" s="2"/>
    </row>
    <row r="886" spans="4:5" ht="12.5">
      <c r="D886" s="2"/>
      <c r="E886" s="2"/>
    </row>
    <row r="887" spans="4:5" ht="12.5">
      <c r="D887" s="2"/>
      <c r="E887" s="2"/>
    </row>
    <row r="888" spans="4:5" ht="12.5">
      <c r="D888" s="2"/>
      <c r="E888" s="2"/>
    </row>
    <row r="889" spans="4:5" ht="12.5">
      <c r="D889" s="2"/>
      <c r="E889" s="2"/>
    </row>
    <row r="890" spans="4:5" ht="12.5">
      <c r="D890" s="2"/>
      <c r="E890" s="2"/>
    </row>
    <row r="891" spans="4:5" ht="12.5">
      <c r="D891" s="2"/>
      <c r="E891" s="2"/>
    </row>
    <row r="892" spans="4:5" ht="12.5">
      <c r="D892" s="2"/>
      <c r="E892" s="2"/>
    </row>
    <row r="893" spans="4:5" ht="12.5">
      <c r="D893" s="2"/>
      <c r="E893" s="2"/>
    </row>
    <row r="894" spans="4:5" ht="12.5">
      <c r="D894" s="2"/>
      <c r="E894" s="2"/>
    </row>
    <row r="895" spans="4:5" ht="12.5">
      <c r="D895" s="2"/>
      <c r="E895" s="2"/>
    </row>
    <row r="896" spans="4:5" ht="12.5">
      <c r="D896" s="2"/>
      <c r="E896" s="2"/>
    </row>
    <row r="897" spans="4:5" ht="12.5">
      <c r="D897" s="2"/>
      <c r="E897" s="2"/>
    </row>
    <row r="898" spans="4:5" ht="12.5">
      <c r="D898" s="2"/>
      <c r="E898" s="2"/>
    </row>
    <row r="899" spans="4:5" ht="12.5">
      <c r="D899" s="2"/>
      <c r="E899" s="2"/>
    </row>
    <row r="900" spans="4:5" ht="12.5">
      <c r="D900" s="2"/>
      <c r="E900" s="2"/>
    </row>
    <row r="901" spans="4:5" ht="12.5">
      <c r="D901" s="2"/>
      <c r="E901" s="2"/>
    </row>
    <row r="902" spans="4:5" ht="12.5">
      <c r="D902" s="2"/>
      <c r="E902" s="2"/>
    </row>
    <row r="903" spans="4:5" ht="12.5">
      <c r="D903" s="2"/>
      <c r="E903" s="2"/>
    </row>
    <row r="904" spans="4:5" ht="12.5">
      <c r="D904" s="2"/>
      <c r="E904" s="2"/>
    </row>
    <row r="905" spans="4:5" ht="12.5">
      <c r="D905" s="2"/>
      <c r="E905" s="2"/>
    </row>
    <row r="906" spans="4:5" ht="12.5">
      <c r="D906" s="2"/>
      <c r="E906" s="2"/>
    </row>
    <row r="907" spans="4:5" ht="12.5">
      <c r="D907" s="2"/>
      <c r="E907" s="2"/>
    </row>
    <row r="908" spans="4:5" ht="12.5">
      <c r="D908" s="2"/>
      <c r="E908" s="2"/>
    </row>
    <row r="909" spans="4:5" ht="12.5">
      <c r="D909" s="2"/>
      <c r="E909" s="2"/>
    </row>
    <row r="910" spans="4:5" ht="12.5">
      <c r="D910" s="2"/>
      <c r="E910" s="2"/>
    </row>
    <row r="911" spans="4:5" ht="12.5">
      <c r="D911" s="2"/>
      <c r="E911" s="2"/>
    </row>
    <row r="912" spans="4:5" ht="12.5">
      <c r="D912" s="2"/>
      <c r="E912" s="2"/>
    </row>
    <row r="913" spans="4:5" ht="12.5">
      <c r="D913" s="2"/>
      <c r="E913" s="2"/>
    </row>
    <row r="914" spans="4:5" ht="12.5">
      <c r="D914" s="2"/>
      <c r="E914" s="2"/>
    </row>
    <row r="915" spans="4:5" ht="12.5">
      <c r="D915" s="2"/>
      <c r="E915" s="2"/>
    </row>
    <row r="916" spans="4:5" ht="12.5">
      <c r="D916" s="2"/>
      <c r="E916" s="2"/>
    </row>
    <row r="917" spans="4:5" ht="12.5">
      <c r="D917" s="2"/>
      <c r="E917" s="2"/>
    </row>
    <row r="918" spans="4:5" ht="12.5">
      <c r="D918" s="2"/>
      <c r="E918" s="2"/>
    </row>
    <row r="919" spans="4:5" ht="12.5">
      <c r="D919" s="2"/>
      <c r="E919" s="2"/>
    </row>
    <row r="920" spans="4:5" ht="12.5">
      <c r="D920" s="2"/>
      <c r="E920" s="2"/>
    </row>
    <row r="921" spans="4:5" ht="12.5">
      <c r="D921" s="2"/>
      <c r="E921" s="2"/>
    </row>
    <row r="922" spans="4:5" ht="12.5">
      <c r="D922" s="2"/>
      <c r="E922" s="2"/>
    </row>
    <row r="923" spans="4:5" ht="12.5">
      <c r="D923" s="2"/>
      <c r="E923" s="2"/>
    </row>
    <row r="924" spans="4:5" ht="12.5">
      <c r="D924" s="2"/>
      <c r="E924" s="2"/>
    </row>
    <row r="925" spans="4:5" ht="12.5">
      <c r="D925" s="2"/>
      <c r="E925" s="2"/>
    </row>
    <row r="926" spans="4:5" ht="12.5">
      <c r="D926" s="2"/>
      <c r="E926" s="2"/>
    </row>
    <row r="927" spans="4:5" ht="12.5">
      <c r="D927" s="2"/>
      <c r="E927" s="2"/>
    </row>
    <row r="928" spans="4:5" ht="12.5">
      <c r="D928" s="2"/>
      <c r="E928" s="2"/>
    </row>
    <row r="929" spans="4:5" ht="12.5">
      <c r="D929" s="2"/>
      <c r="E929" s="2"/>
    </row>
    <row r="930" spans="4:5" ht="12.5">
      <c r="D930" s="2"/>
      <c r="E930" s="2"/>
    </row>
    <row r="931" spans="4:5" ht="12.5">
      <c r="D931" s="2"/>
      <c r="E931" s="2"/>
    </row>
    <row r="932" spans="4:5" ht="12.5">
      <c r="D932" s="2"/>
      <c r="E932" s="2"/>
    </row>
    <row r="933" spans="4:5" ht="12.5">
      <c r="D933" s="2"/>
      <c r="E933" s="2"/>
    </row>
    <row r="934" spans="4:5" ht="12.5">
      <c r="D934" s="2"/>
      <c r="E934" s="2"/>
    </row>
    <row r="935" spans="4:5" ht="12.5">
      <c r="D935" s="2"/>
      <c r="E935" s="2"/>
    </row>
    <row r="936" spans="4:5" ht="12.5">
      <c r="D936" s="2"/>
      <c r="E936" s="2"/>
    </row>
    <row r="937" spans="4:5" ht="12.5">
      <c r="D937" s="2"/>
      <c r="E937" s="2"/>
    </row>
    <row r="938" spans="4:5" ht="12.5">
      <c r="D938" s="2"/>
      <c r="E938" s="2"/>
    </row>
    <row r="939" spans="4:5" ht="12.5">
      <c r="D939" s="2"/>
      <c r="E939" s="2"/>
    </row>
    <row r="940" spans="4:5" ht="12.5">
      <c r="D940" s="2"/>
      <c r="E940" s="2"/>
    </row>
    <row r="941" spans="4:5" ht="12.5">
      <c r="D941" s="2"/>
      <c r="E941" s="2"/>
    </row>
    <row r="942" spans="4:5" ht="12.5">
      <c r="D942" s="2"/>
      <c r="E942" s="2"/>
    </row>
    <row r="943" spans="4:5" ht="12.5">
      <c r="D943" s="2"/>
      <c r="E943" s="2"/>
    </row>
    <row r="944" spans="4:5" ht="12.5">
      <c r="D944" s="2"/>
      <c r="E944" s="2"/>
    </row>
    <row r="945" spans="4:5" ht="12.5">
      <c r="D945" s="2"/>
      <c r="E945" s="2"/>
    </row>
    <row r="946" spans="4:5" ht="12.5">
      <c r="D946" s="2"/>
      <c r="E946" s="2"/>
    </row>
    <row r="947" spans="4:5" ht="12.5">
      <c r="D947" s="2"/>
      <c r="E947" s="2"/>
    </row>
    <row r="948" spans="4:5" ht="12.5">
      <c r="D948" s="2"/>
      <c r="E948" s="2"/>
    </row>
    <row r="949" spans="4:5" ht="12.5">
      <c r="D949" s="2"/>
      <c r="E949" s="2"/>
    </row>
    <row r="950" spans="4:5" ht="12.5">
      <c r="D950" s="2"/>
      <c r="E950" s="2"/>
    </row>
    <row r="951" spans="4:5" ht="12.5">
      <c r="D951" s="2"/>
      <c r="E951" s="2"/>
    </row>
    <row r="952" spans="4:5" ht="12.5">
      <c r="D952" s="2"/>
      <c r="E952" s="2"/>
    </row>
    <row r="953" spans="4:5" ht="12.5">
      <c r="D953" s="2"/>
      <c r="E953" s="2"/>
    </row>
    <row r="954" spans="4:5" ht="12.5">
      <c r="D954" s="2"/>
      <c r="E954" s="2"/>
    </row>
    <row r="955" spans="4:5" ht="12.5">
      <c r="D955" s="2"/>
      <c r="E955" s="2"/>
    </row>
    <row r="956" spans="4:5" ht="12.5">
      <c r="D956" s="2"/>
      <c r="E956" s="2"/>
    </row>
    <row r="957" spans="4:5" ht="12.5">
      <c r="D957" s="2"/>
      <c r="E957" s="2"/>
    </row>
    <row r="958" spans="4:5" ht="12.5">
      <c r="D958" s="2"/>
      <c r="E958" s="2"/>
    </row>
    <row r="959" spans="4:5" ht="12.5">
      <c r="D959" s="2"/>
      <c r="E959" s="2"/>
    </row>
    <row r="960" spans="4:5" ht="12.5">
      <c r="D960" s="2"/>
      <c r="E960" s="2"/>
    </row>
    <row r="961" spans="4:5" ht="12.5">
      <c r="D961" s="2"/>
      <c r="E961" s="2"/>
    </row>
    <row r="962" spans="4:5" ht="12.5">
      <c r="D962" s="2"/>
      <c r="E962" s="2"/>
    </row>
    <row r="963" spans="4:5" ht="12.5">
      <c r="D963" s="2"/>
      <c r="E963" s="2"/>
    </row>
    <row r="964" spans="4:5" ht="12.5">
      <c r="D964" s="2"/>
      <c r="E964" s="2"/>
    </row>
    <row r="965" spans="4:5" ht="12.5">
      <c r="D965" s="2"/>
      <c r="E965" s="2"/>
    </row>
    <row r="966" spans="4:5" ht="12.5">
      <c r="D966" s="2"/>
      <c r="E966" s="2"/>
    </row>
    <row r="967" spans="4:5" ht="12.5">
      <c r="D967" s="2"/>
      <c r="E967" s="2"/>
    </row>
    <row r="968" spans="4:5" ht="12.5">
      <c r="D968" s="2"/>
      <c r="E968" s="2"/>
    </row>
    <row r="969" spans="4:5" ht="12.5">
      <c r="D969" s="2"/>
      <c r="E969" s="2"/>
    </row>
    <row r="970" spans="4:5" ht="12.5">
      <c r="D970" s="2"/>
      <c r="E970" s="2"/>
    </row>
    <row r="971" spans="4:5" ht="12.5">
      <c r="D971" s="2"/>
      <c r="E971" s="2"/>
    </row>
    <row r="972" spans="4:5" ht="12.5">
      <c r="D972" s="2"/>
      <c r="E972" s="2"/>
    </row>
    <row r="973" spans="4:5" ht="12.5">
      <c r="D973" s="2"/>
      <c r="E973" s="2"/>
    </row>
    <row r="974" spans="4:5" ht="12.5">
      <c r="D974" s="2"/>
      <c r="E974" s="2"/>
    </row>
    <row r="975" spans="4:5" ht="12.5">
      <c r="D975" s="2"/>
      <c r="E975" s="2"/>
    </row>
    <row r="976" spans="4:5" ht="12.5">
      <c r="D976" s="2"/>
      <c r="E976" s="2"/>
    </row>
    <row r="977" spans="4:5" ht="12.5">
      <c r="D977" s="2"/>
      <c r="E977" s="2"/>
    </row>
    <row r="978" spans="4:5" ht="12.5">
      <c r="D978" s="2"/>
      <c r="E978" s="2"/>
    </row>
    <row r="979" spans="4:5" ht="12.5">
      <c r="D979" s="2"/>
      <c r="E979" s="2"/>
    </row>
    <row r="980" spans="4:5" ht="12.5">
      <c r="D980" s="2"/>
      <c r="E980" s="2"/>
    </row>
    <row r="981" spans="4:5" ht="12.5">
      <c r="D981" s="2"/>
      <c r="E981" s="2"/>
    </row>
    <row r="982" spans="4:5" ht="12.5">
      <c r="D982" s="2"/>
      <c r="E982" s="2"/>
    </row>
    <row r="983" spans="4:5" ht="12.5">
      <c r="D983" s="2"/>
      <c r="E983" s="2"/>
    </row>
    <row r="984" spans="4:5" ht="12.5">
      <c r="D984" s="2"/>
      <c r="E984" s="2"/>
    </row>
    <row r="985" spans="4:5" ht="12.5">
      <c r="D985" s="2"/>
      <c r="E985" s="2"/>
    </row>
    <row r="986" spans="4:5" ht="12.5">
      <c r="D986" s="2"/>
      <c r="E986" s="2"/>
    </row>
    <row r="987" spans="4:5" ht="12.5">
      <c r="D987" s="2"/>
      <c r="E987" s="2"/>
    </row>
    <row r="988" spans="4:5" ht="12.5">
      <c r="D988" s="2"/>
      <c r="E988" s="2"/>
    </row>
    <row r="989" spans="4:5" ht="12.5">
      <c r="D989" s="2"/>
      <c r="E989" s="2"/>
    </row>
    <row r="990" spans="4:5" ht="12.5">
      <c r="D990" s="2"/>
      <c r="E990" s="2"/>
    </row>
    <row r="991" spans="4:5" ht="12.5">
      <c r="D991" s="2"/>
      <c r="E991" s="2"/>
    </row>
    <row r="992" spans="4:5" ht="12.5">
      <c r="D992" s="2"/>
      <c r="E992" s="2"/>
    </row>
    <row r="993" spans="4:5" ht="12.5">
      <c r="D993" s="2"/>
      <c r="E993" s="2"/>
    </row>
    <row r="994" spans="4:5" ht="12.5">
      <c r="D994" s="2"/>
      <c r="E994" s="2"/>
    </row>
    <row r="995" spans="4:5" ht="12.5">
      <c r="D995" s="2"/>
      <c r="E995" s="2"/>
    </row>
    <row r="996" spans="4:5" ht="12.5">
      <c r="D996" s="2"/>
      <c r="E996" s="2"/>
    </row>
    <row r="997" spans="4:5" ht="12.5">
      <c r="D997" s="2"/>
      <c r="E997" s="2"/>
    </row>
    <row r="998" spans="4:5" ht="12.5">
      <c r="D998" s="2"/>
      <c r="E998" s="2"/>
    </row>
    <row r="999" spans="4:5" ht="12.5">
      <c r="D999" s="2"/>
      <c r="E999" s="2"/>
    </row>
    <row r="1000" spans="4:5" ht="12.5">
      <c r="D1000" s="2"/>
      <c r="E1000" s="2"/>
    </row>
    <row r="1001" spans="4:5" ht="12.5">
      <c r="D1001" s="2"/>
      <c r="E1001" s="2"/>
    </row>
    <row r="1002" spans="4:5" ht="12.5">
      <c r="D1002" s="2"/>
      <c r="E1002" s="2"/>
    </row>
    <row r="1003" spans="4:5" ht="12.5">
      <c r="D1003" s="2"/>
      <c r="E1003" s="2"/>
    </row>
    <row r="1004" spans="4:5" ht="12.5">
      <c r="D1004" s="2"/>
      <c r="E1004" s="2"/>
    </row>
    <row r="1005" spans="4:5" ht="12.5">
      <c r="D1005" s="2"/>
      <c r="E1005" s="2"/>
    </row>
    <row r="1006" spans="4:5" ht="12.5">
      <c r="D1006" s="2"/>
      <c r="E1006" s="2"/>
    </row>
    <row r="1007" spans="4:5" ht="12.5">
      <c r="D1007" s="2"/>
      <c r="E1007" s="2"/>
    </row>
    <row r="1008" spans="4:5" ht="12.5">
      <c r="D1008" s="2"/>
      <c r="E1008" s="2"/>
    </row>
    <row r="1009" spans="4:5" ht="12.5">
      <c r="D1009" s="2"/>
      <c r="E1009" s="2"/>
    </row>
    <row r="1010" spans="4:5" ht="12.5">
      <c r="D1010" s="2"/>
      <c r="E1010" s="2"/>
    </row>
    <row r="1011" spans="4:5" ht="12.5">
      <c r="D1011" s="2"/>
      <c r="E1011" s="2"/>
    </row>
    <row r="1012" spans="4:5" ht="12.5">
      <c r="D1012" s="2"/>
      <c r="E1012" s="2"/>
    </row>
    <row r="1013" spans="4:5" ht="12.5">
      <c r="D1013" s="2"/>
      <c r="E1013" s="2"/>
    </row>
    <row r="1014" spans="4:5" ht="12.5">
      <c r="D1014" s="2"/>
      <c r="E1014" s="2"/>
    </row>
    <row r="1015" spans="4:5" ht="12.5">
      <c r="D1015" s="2"/>
      <c r="E1015" s="2"/>
    </row>
    <row r="1016" spans="4:5" ht="12.5">
      <c r="D1016" s="2"/>
      <c r="E1016" s="2"/>
    </row>
    <row r="1017" spans="4:5" ht="12.5">
      <c r="D1017" s="2"/>
      <c r="E1017" s="2"/>
    </row>
    <row r="1018" spans="4:5" ht="12.5">
      <c r="D1018" s="2"/>
      <c r="E1018" s="2"/>
    </row>
    <row r="1019" spans="4:5" ht="12.5">
      <c r="D1019" s="2"/>
      <c r="E1019" s="2"/>
    </row>
    <row r="1020" spans="4:5" ht="12.5">
      <c r="D1020" s="2"/>
      <c r="E1020" s="2"/>
    </row>
    <row r="1021" spans="4:5" ht="12.5">
      <c r="D1021" s="2"/>
      <c r="E1021" s="2"/>
    </row>
    <row r="1022" spans="4:5" ht="12.5">
      <c r="D1022" s="2"/>
      <c r="E1022" s="2"/>
    </row>
    <row r="1023" spans="4:5" ht="12.5">
      <c r="D1023" s="2"/>
      <c r="E1023" s="2"/>
    </row>
    <row r="1024" spans="4:5" ht="12.5">
      <c r="D1024" s="2"/>
      <c r="E1024" s="2"/>
    </row>
    <row r="1025" spans="4:5" ht="12.5">
      <c r="D1025" s="2"/>
      <c r="E1025" s="2"/>
    </row>
    <row r="1026" spans="4:5" ht="12.5">
      <c r="D1026" s="2"/>
      <c r="E1026" s="2"/>
    </row>
    <row r="1027" spans="4:5" ht="12.5">
      <c r="D1027" s="2"/>
      <c r="E1027" s="2"/>
    </row>
    <row r="1028" spans="4:5" ht="12.5">
      <c r="D1028" s="2"/>
      <c r="E1028" s="2"/>
    </row>
    <row r="1029" spans="4:5" ht="12.5">
      <c r="D1029" s="2"/>
      <c r="E1029" s="2"/>
    </row>
    <row r="1030" spans="4:5" ht="12.5">
      <c r="D1030" s="2"/>
      <c r="E1030" s="2"/>
    </row>
    <row r="1031" spans="4:5" ht="12.5">
      <c r="D1031" s="2"/>
      <c r="E1031" s="2"/>
    </row>
    <row r="1032" spans="4:5" ht="12.5">
      <c r="D1032" s="2"/>
      <c r="E1032" s="2"/>
    </row>
    <row r="1033" spans="4:5" ht="12.5">
      <c r="D1033" s="2"/>
      <c r="E1033" s="2"/>
    </row>
    <row r="1034" spans="4:5" ht="12.5">
      <c r="D1034" s="2"/>
      <c r="E1034" s="2"/>
    </row>
    <row r="1035" spans="4:5" ht="12.5">
      <c r="D1035" s="2"/>
      <c r="E1035" s="2"/>
    </row>
    <row r="1036" spans="4:5" ht="12.5">
      <c r="D1036" s="2"/>
      <c r="E1036" s="2"/>
    </row>
    <row r="1037" spans="4:5" ht="12.5">
      <c r="D1037" s="2"/>
      <c r="E1037" s="2"/>
    </row>
  </sheetData>
  <autoFilter ref="B2:S73" xr:uid="{00000000-0009-0000-0000-000001000000}">
    <sortState xmlns:xlrd2="http://schemas.microsoft.com/office/spreadsheetml/2017/richdata2" ref="B2:S73">
      <sortCondition descending="1" ref="C2:C73"/>
      <sortCondition descending="1" ref="F2:F73"/>
    </sortState>
  </autoFilter>
  <phoneticPr fontId="7" type="noConversion"/>
  <conditionalFormatting sqref="G3:R73">
    <cfRule type="cellIs" dxfId="1" priority="1" operator="equal">
      <formula>1</formula>
    </cfRule>
    <cfRule type="cellIs" dxfId="0" priority="2" operator="equal">
      <formula>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Q16"/>
  <sheetViews>
    <sheetView workbookViewId="0"/>
  </sheetViews>
  <sheetFormatPr defaultColWidth="12.6328125" defaultRowHeight="15.75" customHeight="1"/>
  <cols>
    <col min="2" max="4" width="7.6328125" customWidth="1"/>
    <col min="5" max="6" width="8.6328125" customWidth="1"/>
    <col min="7" max="8" width="7.6328125" customWidth="1"/>
    <col min="9" max="13" width="5.08984375" customWidth="1"/>
    <col min="14" max="15" width="6" customWidth="1"/>
    <col min="16" max="16" width="16.08984375" customWidth="1"/>
    <col min="17" max="17" width="8.36328125" customWidth="1"/>
  </cols>
  <sheetData>
    <row r="2" spans="1:17" ht="15.75" customHeight="1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7" ht="15.75" customHeight="1">
      <c r="A3" s="13" t="s">
        <v>106</v>
      </c>
      <c r="B3" s="26" t="s">
        <v>107</v>
      </c>
      <c r="C3" s="13" t="s">
        <v>108</v>
      </c>
      <c r="D3" s="13" t="s">
        <v>109</v>
      </c>
      <c r="E3" s="26" t="s">
        <v>110</v>
      </c>
      <c r="F3" s="26" t="s">
        <v>111</v>
      </c>
      <c r="G3" s="26" t="s">
        <v>111</v>
      </c>
      <c r="H3" s="26" t="s">
        <v>112</v>
      </c>
      <c r="I3" s="30" t="s">
        <v>113</v>
      </c>
      <c r="J3" s="31"/>
      <c r="K3" s="31"/>
      <c r="L3" s="31"/>
      <c r="M3" s="31"/>
      <c r="N3" s="32"/>
      <c r="O3" s="27"/>
      <c r="P3" s="3" t="s">
        <v>114</v>
      </c>
      <c r="Q3" s="3" t="s">
        <v>115</v>
      </c>
    </row>
    <row r="4" spans="1:17" ht="15.75" customHeight="1">
      <c r="A4" s="16"/>
      <c r="B4" s="16"/>
      <c r="C4" s="16"/>
      <c r="D4" s="16"/>
      <c r="E4" s="28"/>
      <c r="F4" s="28" t="s">
        <v>116</v>
      </c>
      <c r="G4" s="28" t="s">
        <v>117</v>
      </c>
      <c r="H4" s="28" t="s">
        <v>118</v>
      </c>
      <c r="I4" s="28" t="s">
        <v>119</v>
      </c>
      <c r="J4" s="3" t="s">
        <v>120</v>
      </c>
      <c r="K4" s="3" t="s">
        <v>121</v>
      </c>
      <c r="L4" s="3" t="s">
        <v>122</v>
      </c>
      <c r="M4" s="3" t="s">
        <v>123</v>
      </c>
      <c r="N4" s="3" t="s">
        <v>124</v>
      </c>
      <c r="O4" s="3" t="s">
        <v>125</v>
      </c>
      <c r="P4" s="3"/>
      <c r="Q4" s="4"/>
    </row>
    <row r="5" spans="1:17" ht="15.75" customHeight="1">
      <c r="A5" s="4" t="s">
        <v>12</v>
      </c>
      <c r="B5" s="16" t="b">
        <v>1</v>
      </c>
      <c r="C5" s="16" t="b">
        <v>1</v>
      </c>
      <c r="D5" s="16" t="b">
        <v>1</v>
      </c>
      <c r="E5" s="16"/>
      <c r="F5" s="16"/>
      <c r="G5" s="16"/>
      <c r="H5" s="4"/>
      <c r="I5" s="4" t="b">
        <v>1</v>
      </c>
      <c r="J5" s="4" t="b">
        <v>1</v>
      </c>
      <c r="K5" s="4" t="b">
        <v>1</v>
      </c>
      <c r="L5" s="4" t="b">
        <v>1</v>
      </c>
      <c r="M5" s="4" t="b">
        <v>1</v>
      </c>
      <c r="N5" s="3"/>
      <c r="O5" s="4" t="b">
        <v>1</v>
      </c>
      <c r="P5" s="29" t="s">
        <v>126</v>
      </c>
      <c r="Q5" s="4"/>
    </row>
    <row r="6" spans="1:17" ht="15.75" customHeight="1">
      <c r="A6" s="4" t="s">
        <v>127</v>
      </c>
      <c r="B6" s="4"/>
      <c r="C6" s="16" t="b">
        <v>1</v>
      </c>
      <c r="D6" s="16" t="b">
        <v>1</v>
      </c>
      <c r="E6" s="16" t="b">
        <v>1</v>
      </c>
      <c r="F6" s="16" t="b">
        <v>1</v>
      </c>
      <c r="G6" s="4"/>
      <c r="H6" s="16" t="b">
        <v>1</v>
      </c>
      <c r="I6" s="16" t="b">
        <v>1</v>
      </c>
      <c r="J6" s="4" t="b">
        <v>1</v>
      </c>
      <c r="K6" s="4"/>
      <c r="L6" s="4"/>
      <c r="M6" s="4"/>
      <c r="N6" s="3"/>
      <c r="O6" s="4" t="b">
        <v>1</v>
      </c>
      <c r="P6" s="29" t="s">
        <v>128</v>
      </c>
      <c r="Q6" s="4"/>
    </row>
    <row r="7" spans="1:17" ht="15.75" customHeight="1">
      <c r="A7" s="4" t="s">
        <v>129</v>
      </c>
      <c r="B7" s="4"/>
      <c r="C7" s="16" t="b">
        <v>1</v>
      </c>
      <c r="D7" s="4"/>
      <c r="E7" s="4"/>
      <c r="F7" s="16" t="b">
        <v>1</v>
      </c>
      <c r="G7" s="4" t="b">
        <v>1</v>
      </c>
      <c r="H7" s="4"/>
      <c r="I7" s="4" t="b">
        <v>1</v>
      </c>
      <c r="J7" s="4" t="b">
        <v>1</v>
      </c>
      <c r="K7" s="4" t="b">
        <v>1</v>
      </c>
      <c r="L7" s="4"/>
      <c r="M7" s="4"/>
      <c r="N7" s="4" t="b">
        <v>1</v>
      </c>
      <c r="O7" s="4" t="b">
        <v>1</v>
      </c>
      <c r="P7" s="29" t="s">
        <v>130</v>
      </c>
      <c r="Q7" s="4"/>
    </row>
    <row r="8" spans="1:17" ht="15.75" customHeight="1">
      <c r="A8" s="4" t="s">
        <v>131</v>
      </c>
      <c r="B8" s="4"/>
      <c r="C8" s="4"/>
      <c r="D8" s="16" t="b">
        <v>1</v>
      </c>
      <c r="E8" s="4"/>
      <c r="F8" s="16" t="b">
        <v>1</v>
      </c>
      <c r="G8" s="4"/>
      <c r="H8" s="4"/>
      <c r="I8" s="4"/>
      <c r="J8" s="4" t="b">
        <v>1</v>
      </c>
      <c r="K8" s="4"/>
      <c r="L8" s="4"/>
      <c r="M8" s="4"/>
      <c r="N8" s="3"/>
      <c r="O8" s="4" t="b">
        <v>1</v>
      </c>
      <c r="P8" s="29" t="s">
        <v>132</v>
      </c>
      <c r="Q8" s="4"/>
    </row>
    <row r="9" spans="1:17" ht="15.75" customHeight="1">
      <c r="A9" s="4" t="s">
        <v>133</v>
      </c>
      <c r="B9" s="16" t="b">
        <v>1</v>
      </c>
      <c r="C9" s="16" t="b">
        <v>1</v>
      </c>
      <c r="D9" s="4"/>
      <c r="E9" s="4"/>
      <c r="F9" s="4"/>
      <c r="G9" s="4"/>
      <c r="H9" s="4" t="b">
        <v>1</v>
      </c>
      <c r="I9" s="4" t="b">
        <v>1</v>
      </c>
      <c r="J9" s="4" t="b">
        <v>1</v>
      </c>
      <c r="K9" s="4"/>
      <c r="L9" s="4"/>
      <c r="M9" s="4"/>
      <c r="N9" s="3"/>
      <c r="O9" s="3"/>
      <c r="P9" s="29" t="s">
        <v>134</v>
      </c>
      <c r="Q9" s="3" t="s">
        <v>135</v>
      </c>
    </row>
    <row r="10" spans="1:17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3"/>
      <c r="O10" s="3"/>
      <c r="P10" s="3"/>
      <c r="Q10" s="4"/>
    </row>
    <row r="11" spans="1:17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3"/>
      <c r="O11" s="3"/>
      <c r="P11" s="3"/>
      <c r="Q11" s="4"/>
    </row>
    <row r="12" spans="1:17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3"/>
      <c r="O12" s="3"/>
      <c r="P12" s="3"/>
      <c r="Q12" s="4"/>
    </row>
    <row r="13" spans="1:17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3"/>
      <c r="O13" s="3"/>
      <c r="P13" s="3"/>
      <c r="Q13" s="4"/>
    </row>
    <row r="14" spans="1:17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3"/>
      <c r="O14" s="3"/>
      <c r="P14" s="3"/>
      <c r="Q14" s="4"/>
    </row>
    <row r="15" spans="1:17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3"/>
      <c r="O15" s="3"/>
      <c r="P15" s="3"/>
      <c r="Q15" s="4"/>
    </row>
    <row r="16" spans="1:17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3"/>
      <c r="O16" s="3"/>
      <c r="P16" s="3"/>
      <c r="Q16" s="4"/>
    </row>
  </sheetData>
  <mergeCells count="1">
    <mergeCell ref="I3:N3"/>
  </mergeCells>
  <phoneticPr fontId="7" type="noConversion"/>
  <hyperlinks>
    <hyperlink ref="P5" r:id="rId1" xr:uid="{00000000-0004-0000-0200-000000000000}"/>
    <hyperlink ref="P6" r:id="rId2" xr:uid="{00000000-0004-0000-0200-000001000000}"/>
    <hyperlink ref="P7" r:id="rId3" xr:uid="{00000000-0004-0000-0200-000002000000}"/>
    <hyperlink ref="P8" r:id="rId4" xr:uid="{00000000-0004-0000-0200-000003000000}"/>
    <hyperlink ref="P9" r:id="rId5" xr:uid="{00000000-0004-0000-0200-000004000000}"/>
  </hyperlinks>
  <pageMargins left="0.7" right="0.7" top="0.75" bottom="0.75" header="0.3" footer="0.3"/>
  <pageSetup paperSize="9"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0129F-EBAB-4330-90CF-030CFB3BD903}">
  <dimension ref="A1:C15"/>
  <sheetViews>
    <sheetView tabSelected="1" topLeftCell="A10" workbookViewId="0">
      <selection activeCell="C12" sqref="C12"/>
    </sheetView>
  </sheetViews>
  <sheetFormatPr defaultRowHeight="12.5"/>
  <cols>
    <col min="2" max="2" width="106.1796875" bestFit="1" customWidth="1"/>
    <col min="3" max="3" width="32.7265625" customWidth="1"/>
  </cols>
  <sheetData>
    <row r="1" spans="1:3" ht="16">
      <c r="A1" s="33" t="s">
        <v>136</v>
      </c>
      <c r="B1" s="34" t="s">
        <v>148</v>
      </c>
      <c r="C1" s="35" t="s">
        <v>149</v>
      </c>
    </row>
    <row r="2" spans="1:3" ht="32">
      <c r="A2" s="33" t="s">
        <v>137</v>
      </c>
      <c r="B2" s="37" t="s">
        <v>154</v>
      </c>
      <c r="C2" s="35" t="s">
        <v>150</v>
      </c>
    </row>
    <row r="3" spans="1:3" ht="32">
      <c r="A3" s="33" t="s">
        <v>138</v>
      </c>
      <c r="B3" s="36" t="s">
        <v>153</v>
      </c>
      <c r="C3" s="33" t="s">
        <v>151</v>
      </c>
    </row>
    <row r="4" spans="1:3" ht="48">
      <c r="A4" s="33" t="s">
        <v>139</v>
      </c>
      <c r="B4" s="36" t="s">
        <v>152</v>
      </c>
      <c r="C4" s="34" t="s">
        <v>155</v>
      </c>
    </row>
    <row r="5" spans="1:3" ht="112">
      <c r="A5" s="33" t="s">
        <v>140</v>
      </c>
      <c r="B5" s="36" t="s">
        <v>156</v>
      </c>
      <c r="C5" s="36" t="s">
        <v>157</v>
      </c>
    </row>
    <row r="6" spans="1:3" ht="32">
      <c r="A6" s="33" t="s">
        <v>141</v>
      </c>
      <c r="B6" s="35" t="s">
        <v>158</v>
      </c>
      <c r="C6" s="34" t="s">
        <v>159</v>
      </c>
    </row>
    <row r="7" spans="1:3" ht="48">
      <c r="A7" s="33" t="s">
        <v>142</v>
      </c>
      <c r="B7" s="38" t="s">
        <v>160</v>
      </c>
      <c r="C7" s="35" t="s">
        <v>162</v>
      </c>
    </row>
    <row r="8" spans="1:3" ht="48">
      <c r="A8" s="33" t="s">
        <v>143</v>
      </c>
      <c r="B8" s="36" t="s">
        <v>161</v>
      </c>
      <c r="C8" s="34" t="s">
        <v>163</v>
      </c>
    </row>
    <row r="9" spans="1:3" ht="48">
      <c r="A9" s="33" t="s">
        <v>144</v>
      </c>
      <c r="B9" s="36" t="s">
        <v>164</v>
      </c>
      <c r="C9" s="39" t="s">
        <v>165</v>
      </c>
    </row>
    <row r="10" spans="1:3" ht="16">
      <c r="A10" s="33" t="s">
        <v>145</v>
      </c>
      <c r="B10" s="33" t="s">
        <v>166</v>
      </c>
      <c r="C10" s="34" t="s">
        <v>167</v>
      </c>
    </row>
    <row r="11" spans="1:3" ht="64">
      <c r="A11" s="33" t="s">
        <v>146</v>
      </c>
      <c r="B11" s="36" t="s">
        <v>168</v>
      </c>
      <c r="C11" s="34" t="s">
        <v>169</v>
      </c>
    </row>
    <row r="12" spans="1:3" ht="112">
      <c r="A12" s="33" t="s">
        <v>147</v>
      </c>
      <c r="B12" s="35" t="s">
        <v>170</v>
      </c>
      <c r="C12" s="36" t="s">
        <v>171</v>
      </c>
    </row>
    <row r="13" spans="1:3" ht="16">
      <c r="A13" s="33"/>
    </row>
    <row r="14" spans="1:3" ht="16">
      <c r="A14" s="33"/>
    </row>
    <row r="15" spans="1:3" ht="16">
      <c r="A15" s="33"/>
    </row>
  </sheetData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종합</vt:lpstr>
      <vt:lpstr>종합V</vt:lpstr>
      <vt:lpstr>모델기능</vt:lpstr>
      <vt:lpstr>문항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Soon Ho Kim</cp:lastModifiedBy>
  <dcterms:modified xsi:type="dcterms:W3CDTF">2025-05-01T07:49:20Z</dcterms:modified>
</cp:coreProperties>
</file>